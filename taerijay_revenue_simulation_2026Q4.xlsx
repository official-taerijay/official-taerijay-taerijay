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요약비교" sheetId="2" state="visible" r:id="rId4"/>
    <sheet name="①최소" sheetId="3" state="visible" r:id="rId5"/>
    <sheet name="②평균" sheetId="4" state="visible" r:id="rId6"/>
    <sheet name="③최대" sheetId="5" state="visible" r:id="rId7"/>
    <sheet name="④대박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<sst xmlns="http://schemas.openxmlformats.org/spreadsheetml/2006/main" count="322" uniqueCount="98">
  <si>
    <r>
      <rPr>
        <b val="true"/>
        <sz val="16"/>
        <rFont val="Cambria"/>
        <family val="0"/>
        <charset val="1"/>
      </rPr>
      <t xml:space="preserve">TAERIJAY </t>
    </r>
    <r>
      <rPr>
        <b val="true"/>
        <sz val="16"/>
        <rFont val="Noto Sans CJK SC"/>
        <family val="2"/>
      </rPr>
      <t xml:space="preserve">수익 시뮬레이션 — 가정</t>
    </r>
    <r>
      <rPr>
        <b val="true"/>
        <sz val="16"/>
        <rFont val="Cambria"/>
        <family val="0"/>
        <charset val="1"/>
      </rPr>
      <t xml:space="preserve">(Assumptions)</t>
    </r>
  </si>
  <si>
    <r>
      <rPr>
        <i val="true"/>
        <sz val="10"/>
        <color rgb="FF666666"/>
        <rFont val="Noto Sans CJK SC"/>
        <family val="2"/>
      </rPr>
      <t xml:space="preserve">기간</t>
    </r>
    <r>
      <rPr>
        <i val="true"/>
        <sz val="10"/>
        <color rgb="FF666666"/>
        <rFont val="Cambria"/>
        <family val="0"/>
        <charset val="1"/>
      </rPr>
      <t xml:space="preserve">: 2026-09-01 ~ 2026-12-31 (4</t>
    </r>
    <r>
      <rPr>
        <i val="true"/>
        <sz val="10"/>
        <color rgb="FF666666"/>
        <rFont val="Noto Sans CJK SC"/>
        <family val="2"/>
      </rPr>
      <t xml:space="preserve">개월</t>
    </r>
    <r>
      <rPr>
        <i val="true"/>
        <sz val="10"/>
        <color rgb="FF666666"/>
        <rFont val="Cambria"/>
        <family val="0"/>
        <charset val="1"/>
      </rPr>
      <t xml:space="preserve">, 121</t>
    </r>
    <r>
      <rPr>
        <i val="true"/>
        <sz val="10"/>
        <color rgb="FF666666"/>
        <rFont val="Noto Sans CJK SC"/>
        <family val="2"/>
      </rPr>
      <t xml:space="preserve">일</t>
    </r>
    <r>
      <rPr>
        <i val="true"/>
        <sz val="10"/>
        <color rgb="FF666666"/>
        <rFont val="Cambria"/>
        <family val="0"/>
        <charset val="1"/>
      </rPr>
      <t xml:space="preserve">) · </t>
    </r>
    <r>
      <rPr>
        <i val="true"/>
        <sz val="10"/>
        <color rgb="FF666666"/>
        <rFont val="Noto Sans CJK SC"/>
        <family val="2"/>
      </rPr>
      <t xml:space="preserve">개인 홍보</t>
    </r>
    <r>
      <rPr>
        <i val="true"/>
        <sz val="10"/>
        <color rgb="FF666666"/>
        <rFont val="Cambria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</rPr>
      <t xml:space="preserve">유료광고 없음</t>
    </r>
    <r>
      <rPr>
        <i val="true"/>
        <sz val="10"/>
        <color rgb="FF666666"/>
        <rFont val="Cambria"/>
        <family val="0"/>
        <charset val="1"/>
      </rPr>
      <t xml:space="preserve">) · </t>
    </r>
    <r>
      <rPr>
        <i val="true"/>
        <sz val="10"/>
        <color rgb="FF666666"/>
        <rFont val="Noto Sans CJK SC"/>
        <family val="2"/>
      </rPr>
      <t xml:space="preserve">채널</t>
    </r>
    <r>
      <rPr>
        <i val="true"/>
        <sz val="10"/>
        <color rgb="FF666666"/>
        <rFont val="Cambria"/>
        <family val="0"/>
        <charset val="1"/>
      </rPr>
      <t xml:space="preserve">: </t>
    </r>
    <r>
      <rPr>
        <i val="true"/>
        <sz val="10"/>
        <color rgb="FF666666"/>
        <rFont val="Noto Sans CJK SC"/>
        <family val="2"/>
      </rPr>
      <t xml:space="preserve">유튜브</t>
    </r>
    <r>
      <rPr>
        <i val="true"/>
        <sz val="10"/>
        <color rgb="FF666666"/>
        <rFont val="Cambria"/>
        <family val="0"/>
        <charset val="1"/>
      </rPr>
      <t xml:space="preserve">·</t>
    </r>
    <r>
      <rPr>
        <i val="true"/>
        <sz val="10"/>
        <color rgb="FF666666"/>
        <rFont val="Noto Sans CJK SC"/>
        <family val="2"/>
      </rPr>
      <t xml:space="preserve">인스타그램</t>
    </r>
    <r>
      <rPr>
        <i val="true"/>
        <sz val="10"/>
        <color rgb="FF666666"/>
        <rFont val="Cambria"/>
        <family val="0"/>
        <charset val="1"/>
      </rPr>
      <t xml:space="preserve">·</t>
    </r>
    <r>
      <rPr>
        <i val="true"/>
        <sz val="10"/>
        <color rgb="FF666666"/>
        <rFont val="Noto Sans CJK SC"/>
        <family val="2"/>
      </rPr>
      <t xml:space="preserve">틱톡</t>
    </r>
    <r>
      <rPr>
        <i val="true"/>
        <sz val="10"/>
        <color rgb="FF666666"/>
        <rFont val="Cambria"/>
        <family val="0"/>
        <charset val="1"/>
      </rPr>
      <t xml:space="preserve">·</t>
    </r>
    <r>
      <rPr>
        <i val="true"/>
        <sz val="10"/>
        <color rgb="FF666666"/>
        <rFont val="Noto Sans CJK SC"/>
        <family val="2"/>
      </rPr>
      <t xml:space="preserve">구글</t>
    </r>
    <r>
      <rPr>
        <i val="true"/>
        <sz val="10"/>
        <color rgb="FF666666"/>
        <rFont val="Cambria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</rPr>
      <t xml:space="preserve">네이버 블로그</t>
    </r>
  </si>
  <si>
    <r>
      <rPr>
        <i val="true"/>
        <sz val="9"/>
        <color rgb="FFB91C1C"/>
        <rFont val="Noto Sans CJK SC"/>
        <family val="2"/>
      </rPr>
      <t xml:space="preserve">※ 파란 글씨 </t>
    </r>
    <r>
      <rPr>
        <i val="true"/>
        <sz val="9"/>
        <color rgb="FFB91C1C"/>
        <rFont val="Cambria"/>
        <family val="0"/>
        <charset val="1"/>
      </rPr>
      <t xml:space="preserve">= </t>
    </r>
    <r>
      <rPr>
        <i val="true"/>
        <sz val="9"/>
        <color rgb="FFB91C1C"/>
        <rFont val="Noto Sans CJK SC"/>
        <family val="2"/>
      </rPr>
      <t xml:space="preserve">직접 입력하는 가정값</t>
    </r>
    <r>
      <rPr>
        <i val="true"/>
        <sz val="9"/>
        <color rgb="FFB91C1C"/>
        <rFont val="Cambria"/>
        <family val="0"/>
        <charset val="1"/>
      </rPr>
      <t xml:space="preserve">. </t>
    </r>
    <r>
      <rPr>
        <i val="true"/>
        <sz val="9"/>
        <color rgb="FFB91C1C"/>
        <rFont val="Noto Sans CJK SC"/>
        <family val="2"/>
      </rPr>
      <t xml:space="preserve">시나리오 탭 계산은 전부 이 값들을 참조합니다</t>
    </r>
    <r>
      <rPr>
        <i val="true"/>
        <sz val="9"/>
        <color rgb="FFB91C1C"/>
        <rFont val="Cambria"/>
        <family val="0"/>
        <charset val="1"/>
      </rPr>
      <t xml:space="preserve">.</t>
    </r>
  </si>
  <si>
    <r>
      <rPr>
        <b val="true"/>
        <sz val="11"/>
        <rFont val="Cambria"/>
        <family val="0"/>
        <charset val="1"/>
      </rPr>
      <t xml:space="preserve">1) </t>
    </r>
    <r>
      <rPr>
        <b val="true"/>
        <sz val="11"/>
        <rFont val="Noto Sans CJK SC"/>
        <family val="2"/>
      </rPr>
      <t xml:space="preserve">요금제 </t>
    </r>
    <r>
      <rPr>
        <b val="true"/>
        <sz val="11"/>
        <rFont val="Cambria"/>
        <family val="0"/>
        <charset val="1"/>
      </rPr>
      <t xml:space="preserve">(pricing.astro </t>
    </r>
    <r>
      <rPr>
        <b val="true"/>
        <sz val="11"/>
        <rFont val="Noto Sans CJK SC"/>
        <family val="2"/>
      </rPr>
      <t xml:space="preserve">기준 실제 가격</t>
    </r>
    <r>
      <rPr>
        <b val="true"/>
        <sz val="11"/>
        <rFont val="Cambria"/>
        <family val="0"/>
        <charset val="1"/>
      </rPr>
      <t xml:space="preserve">)</t>
    </r>
  </si>
  <si>
    <t xml:space="preserve">요금제</t>
  </si>
  <si>
    <r>
      <rPr>
        <b val="true"/>
        <sz val="11"/>
        <color rgb="FFFFFFFF"/>
        <rFont val="Noto Sans CJK SC"/>
        <family val="2"/>
      </rPr>
      <t xml:space="preserve">월가격</t>
    </r>
    <r>
      <rPr>
        <b val="true"/>
        <sz val="11"/>
        <color rgb="FFFFFFFF"/>
        <rFont val="Cambria"/>
        <family val="0"/>
        <charset val="1"/>
      </rPr>
      <t xml:space="preserve">(USD)</t>
    </r>
  </si>
  <si>
    <t xml:space="preserve">비고</t>
  </si>
  <si>
    <r>
      <rPr>
        <sz val="11"/>
        <color rgb="FF000000"/>
        <rFont val="Cambria"/>
        <family val="0"/>
        <charset val="1"/>
      </rPr>
      <t xml:space="preserve">BASIC (</t>
    </r>
    <r>
      <rPr>
        <sz val="11"/>
        <color rgb="FF000000"/>
        <rFont val="Noto Sans CJK SC"/>
        <family val="2"/>
      </rPr>
      <t xml:space="preserve">싱글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</si>
  <si>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9"/>
        <color rgb="FF666666"/>
        <rFont val="Cambria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채널</t>
    </r>
    <r>
      <rPr>
        <sz val="9"/>
        <color rgb="FF666666"/>
        <rFont val="Cambria"/>
        <family val="0"/>
        <charset val="1"/>
      </rPr>
      <t xml:space="preserve">, 1</t>
    </r>
    <r>
      <rPr>
        <sz val="9"/>
        <color rgb="FF666666"/>
        <rFont val="Noto Sans CJK SC"/>
        <family val="2"/>
      </rPr>
      <t xml:space="preserve">디바이스</t>
    </r>
  </si>
  <si>
    <r>
      <rPr>
        <sz val="11"/>
        <color rgb="FF000000"/>
        <rFont val="Cambria"/>
        <family val="0"/>
        <charset val="1"/>
      </rPr>
      <t xml:space="preserve">STANDARD (</t>
    </r>
    <r>
      <rPr>
        <sz val="11"/>
        <color rgb="FF000000"/>
        <rFont val="Noto Sans CJK SC"/>
        <family val="2"/>
      </rPr>
      <t xml:space="preserve">싱글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</si>
  <si>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9"/>
        <color rgb="FF666666"/>
        <rFont val="Cambria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채널</t>
    </r>
    <r>
      <rPr>
        <sz val="9"/>
        <color rgb="FF666666"/>
        <rFont val="Cambria"/>
        <family val="0"/>
        <charset val="1"/>
      </rPr>
      <t xml:space="preserve">, 2</t>
    </r>
    <r>
      <rPr>
        <sz val="9"/>
        <color rgb="FF666666"/>
        <rFont val="Noto Sans CJK SC"/>
        <family val="2"/>
      </rPr>
      <t xml:space="preserve">디바이스</t>
    </r>
    <r>
      <rPr>
        <sz val="9"/>
        <color rgb="FF666666"/>
        <rFont val="Cambria"/>
        <family val="0"/>
        <charset val="1"/>
      </rPr>
      <t xml:space="preserve">·2</t>
    </r>
    <r>
      <rPr>
        <sz val="9"/>
        <color rgb="FF666666"/>
        <rFont val="Noto Sans CJK SC"/>
        <family val="2"/>
      </rPr>
      <t xml:space="preserve">동접</t>
    </r>
  </si>
  <si>
    <r>
      <rPr>
        <sz val="11"/>
        <color rgb="FF000000"/>
        <rFont val="Cambria"/>
        <family val="0"/>
        <charset val="1"/>
      </rPr>
      <t xml:space="preserve">PRO (</t>
    </r>
    <r>
      <rPr>
        <sz val="11"/>
        <color rgb="FF000000"/>
        <rFont val="Noto Sans CJK SC"/>
        <family val="2"/>
      </rPr>
      <t xml:space="preserve">싱글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</si>
  <si>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9"/>
        <color rgb="FF666666"/>
        <rFont val="Cambria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채널</t>
    </r>
    <r>
      <rPr>
        <sz val="9"/>
        <color rgb="FF666666"/>
        <rFont val="Cambria"/>
        <family val="0"/>
        <charset val="1"/>
      </rPr>
      <t xml:space="preserve">, 3</t>
    </r>
    <r>
      <rPr>
        <sz val="9"/>
        <color rgb="FF666666"/>
        <rFont val="Noto Sans CJK SC"/>
        <family val="2"/>
      </rPr>
      <t xml:space="preserve">디바이스</t>
    </r>
    <r>
      <rPr>
        <sz val="9"/>
        <color rgb="FF666666"/>
        <rFont val="Cambria"/>
        <family val="0"/>
        <charset val="1"/>
      </rPr>
      <t xml:space="preserve">·3</t>
    </r>
    <r>
      <rPr>
        <sz val="9"/>
        <color rgb="FF666666"/>
        <rFont val="Noto Sans CJK SC"/>
        <family val="2"/>
      </rPr>
      <t xml:space="preserve">동접</t>
    </r>
  </si>
  <si>
    <r>
      <rPr>
        <sz val="11"/>
        <color rgb="FF000000"/>
        <rFont val="Noto Sans CJK SC"/>
        <family val="2"/>
      </rPr>
      <t xml:space="preserve">더블</t>
    </r>
    <r>
      <rPr>
        <sz val="11"/>
        <color rgb="FF000000"/>
        <rFont val="Cambria"/>
        <family val="0"/>
        <charset val="1"/>
      </rPr>
      <t xml:space="preserve">(2</t>
    </r>
    <r>
      <rPr>
        <sz val="11"/>
        <color rgb="FF000000"/>
        <rFont val="Noto Sans CJK SC"/>
        <family val="2"/>
      </rPr>
      <t xml:space="preserve">채널 묶음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</si>
  <si>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9"/>
        <color rgb="FF666666"/>
        <rFont val="Cambria"/>
        <family val="0"/>
        <charset val="1"/>
      </rPr>
      <t xml:space="preserve">protocol+mini </t>
    </r>
    <r>
      <rPr>
        <sz val="9"/>
        <color rgb="FF666666"/>
        <rFont val="Noto Sans CJK SC"/>
        <family val="2"/>
      </rPr>
      <t xml:space="preserve">또는 </t>
    </r>
    <r>
      <rPr>
        <sz val="9"/>
        <color rgb="FF666666"/>
        <rFont val="Cambria"/>
        <family val="0"/>
        <charset val="1"/>
      </rPr>
      <t xml:space="preserve">red+green</t>
    </r>
  </si>
  <si>
    <r>
      <rPr>
        <sz val="11"/>
        <color rgb="FF000000"/>
        <rFont val="Noto Sans CJK SC"/>
        <family val="2"/>
      </rPr>
      <t xml:space="preserve">토탈</t>
    </r>
    <r>
      <rPr>
        <sz val="11"/>
        <color rgb="FF000000"/>
        <rFont val="Cambria"/>
        <family val="0"/>
        <charset val="1"/>
      </rPr>
      <t xml:space="preserve">(5</t>
    </r>
    <r>
      <rPr>
        <sz val="11"/>
        <color rgb="FF000000"/>
        <rFont val="Noto Sans CJK SC"/>
        <family val="2"/>
      </rPr>
      <t xml:space="preserve">채널 전체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</si>
  <si>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전 채널</t>
    </r>
    <r>
      <rPr>
        <sz val="9"/>
        <color rgb="FF666666"/>
        <rFont val="Cambria"/>
        <family val="0"/>
        <charset val="1"/>
      </rPr>
      <t xml:space="preserve">, 1</t>
    </r>
    <r>
      <rPr>
        <sz val="9"/>
        <color rgb="FF666666"/>
        <rFont val="Noto Sans CJK SC"/>
        <family val="2"/>
      </rPr>
      <t xml:space="preserve">디바이스</t>
    </r>
  </si>
  <si>
    <r>
      <rPr>
        <b val="true"/>
        <sz val="11"/>
        <rFont val="Noto Sans CJK SC"/>
        <family val="2"/>
      </rPr>
      <t xml:space="preserve">가중평균 결제단가 </t>
    </r>
    <r>
      <rPr>
        <b val="true"/>
        <sz val="11"/>
        <rFont val="Cambria"/>
        <family val="0"/>
        <charset val="1"/>
      </rPr>
      <t xml:space="preserve">(ARPU, USD/</t>
    </r>
    <r>
      <rPr>
        <b val="true"/>
        <sz val="11"/>
        <rFont val="Noto Sans CJK SC"/>
        <family val="2"/>
      </rPr>
      <t xml:space="preserve">월</t>
    </r>
    <r>
      <rPr>
        <b val="true"/>
        <sz val="11"/>
        <rFont val="Cambria"/>
        <family val="0"/>
        <charset val="1"/>
      </rPr>
      <t xml:space="preserve">) — </t>
    </r>
    <r>
      <rPr>
        <b val="true"/>
        <sz val="11"/>
        <rFont val="Noto Sans CJK SC"/>
        <family val="2"/>
      </rPr>
      <t xml:space="preserve">시나리오별 입력</t>
    </r>
  </si>
  <si>
    <t xml:space="preserve">시나리오</t>
  </si>
  <si>
    <r>
      <rPr>
        <b val="true"/>
        <sz val="11"/>
        <color rgb="FFFFFFFF"/>
        <rFont val="Cambria"/>
        <family val="0"/>
        <charset val="1"/>
      </rPr>
      <t xml:space="preserve">9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</si>
  <si>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10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</si>
  <si>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11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</si>
  <si>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12</t>
    </r>
    <r>
      <rPr>
        <b val="true"/>
        <sz val="11"/>
        <color rgb="FFFFFFFF"/>
        <rFont val="Noto Sans CJK SC"/>
        <family val="2"/>
      </rPr>
      <t xml:space="preserve">월</t>
    </r>
  </si>
  <si>
    <t xml:space="preserve">설명</t>
  </si>
  <si>
    <t xml:space="preserve">① 최소</t>
  </si>
  <si>
    <r>
      <rPr>
        <sz val="9"/>
        <color rgb="FF666666"/>
        <rFont val="Noto Sans CJK SC"/>
        <family val="2"/>
      </rPr>
      <t xml:space="preserve">초반엔 </t>
    </r>
    <r>
      <rPr>
        <sz val="9"/>
        <color rgb="FF666666"/>
        <rFont val="Cambria"/>
        <family val="0"/>
        <charset val="1"/>
      </rPr>
      <t xml:space="preserve">BASIC </t>
    </r>
    <r>
      <rPr>
        <sz val="9"/>
        <color rgb="FF666666"/>
        <rFont val="Noto Sans CJK SC"/>
        <family val="2"/>
      </rPr>
      <t xml:space="preserve">위주</t>
    </r>
    <r>
      <rPr>
        <sz val="9"/>
        <color rgb="FF666666"/>
        <rFont val="Cambria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서서히 </t>
    </r>
    <r>
      <rPr>
        <sz val="9"/>
        <color rgb="FF666666"/>
        <rFont val="Cambria"/>
        <family val="0"/>
        <charset val="1"/>
      </rPr>
      <t xml:space="preserve">STANDARD </t>
    </r>
    <r>
      <rPr>
        <sz val="9"/>
        <color rgb="FF666666"/>
        <rFont val="Noto Sans CJK SC"/>
        <family val="2"/>
      </rPr>
      <t xml:space="preserve">섞임</t>
    </r>
  </si>
  <si>
    <t xml:space="preserve">② 평균</t>
  </si>
  <si>
    <r>
      <rPr>
        <sz val="9"/>
        <color rgb="FF666666"/>
        <rFont val="Cambria"/>
        <family val="0"/>
        <charset val="1"/>
      </rPr>
      <t xml:space="preserve">STANDARD </t>
    </r>
    <r>
      <rPr>
        <sz val="9"/>
        <color rgb="FF666666"/>
        <rFont val="Noto Sans CJK SC"/>
        <family val="2"/>
      </rPr>
      <t xml:space="preserve">중심</t>
    </r>
    <r>
      <rPr>
        <sz val="9"/>
        <color rgb="FF666666"/>
        <rFont val="Cambria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후반 더블 일부 유입</t>
    </r>
  </si>
  <si>
    <t xml:space="preserve">③ 최대</t>
  </si>
  <si>
    <r>
      <rPr>
        <sz val="9"/>
        <color rgb="FF666666"/>
        <rFont val="Cambria"/>
        <family val="0"/>
        <charset val="1"/>
      </rPr>
      <t xml:space="preserve">STANDARD~PRO, </t>
    </r>
    <r>
      <rPr>
        <sz val="9"/>
        <color rgb="FF666666"/>
        <rFont val="Noto Sans CJK SC"/>
        <family val="2"/>
      </rPr>
      <t xml:space="preserve">더블</t>
    </r>
    <r>
      <rPr>
        <sz val="9"/>
        <color rgb="FF666666"/>
        <rFont val="Cambria"/>
        <family val="0"/>
        <charset val="1"/>
      </rPr>
      <t xml:space="preserve">/</t>
    </r>
    <r>
      <rPr>
        <sz val="9"/>
        <color rgb="FF666666"/>
        <rFont val="Noto Sans CJK SC"/>
        <family val="2"/>
      </rPr>
      <t xml:space="preserve">토탈 비중 증가</t>
    </r>
  </si>
  <si>
    <t xml:space="preserve">④ 대박</t>
  </si>
  <si>
    <r>
      <rPr>
        <sz val="9"/>
        <color rgb="FF666666"/>
        <rFont val="Cambria"/>
        <family val="0"/>
        <charset val="1"/>
      </rPr>
      <t xml:space="preserve">PRO+</t>
    </r>
    <r>
      <rPr>
        <sz val="9"/>
        <color rgb="FF666666"/>
        <rFont val="Noto Sans CJK SC"/>
        <family val="2"/>
      </rPr>
      <t xml:space="preserve">토탈 비중 확대</t>
    </r>
    <r>
      <rPr>
        <sz val="9"/>
        <color rgb="FF666666"/>
        <rFont val="Cambria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입소문 프리미엄 전환</t>
    </r>
  </si>
  <si>
    <r>
      <rPr>
        <b val="true"/>
        <sz val="11"/>
        <rFont val="Cambria"/>
        <family val="0"/>
        <charset val="1"/>
      </rPr>
      <t xml:space="preserve">2) </t>
    </r>
    <r>
      <rPr>
        <b val="true"/>
        <sz val="11"/>
        <rFont val="Noto Sans CJK SC"/>
        <family val="2"/>
      </rPr>
      <t xml:space="preserve">채널별 월간 순방문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유니크</t>
    </r>
    <r>
      <rPr>
        <b val="true"/>
        <sz val="11"/>
        <rFont val="Cambria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도달 가정 — 시나리오별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개인 운영 기준</t>
    </r>
  </si>
  <si>
    <r>
      <rPr>
        <i val="true"/>
        <sz val="9"/>
        <color rgb="FF666666"/>
        <rFont val="Noto Sans CJK SC"/>
        <family val="2"/>
      </rPr>
      <t xml:space="preserve">※ 팔로워</t>
    </r>
    <r>
      <rPr>
        <i val="true"/>
        <sz val="9"/>
        <color rgb="FF666666"/>
        <rFont val="Cambria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구독자 수가 아니라 </t>
    </r>
    <r>
      <rPr>
        <i val="true"/>
        <sz val="9"/>
        <color rgb="FF666666"/>
        <rFont val="Cambria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실제 링크 클릭 → 사이트 방문</t>
    </r>
    <r>
      <rPr>
        <i val="true"/>
        <sz val="9"/>
        <color rgb="FF666666"/>
        <rFont val="Cambria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으로 이어지는 순방문 추정치입니다</t>
    </r>
    <r>
      <rPr>
        <i val="true"/>
        <sz val="9"/>
        <color rgb="FF666666"/>
        <rFont val="Cambria"/>
        <family val="0"/>
        <charset val="1"/>
      </rPr>
      <t xml:space="preserve">.</t>
    </r>
  </si>
  <si>
    <t xml:space="preserve">채널</t>
  </si>
  <si>
    <r>
      <rPr>
        <b val="true"/>
        <sz val="11"/>
        <color rgb="FFFFFFFF"/>
        <rFont val="Cambria"/>
        <family val="0"/>
        <charset val="1"/>
      </rPr>
      <t xml:space="preserve">9</t>
    </r>
    <r>
      <rPr>
        <b val="true"/>
        <sz val="11"/>
        <color rgb="FFFFFFFF"/>
        <rFont val="Noto Sans CJK SC"/>
        <family val="2"/>
      </rPr>
      <t xml:space="preserve">월 방문</t>
    </r>
  </si>
  <si>
    <r>
      <rPr>
        <b val="true"/>
        <sz val="11"/>
        <color rgb="FFFFFFFF"/>
        <rFont val="Cambria"/>
        <family val="0"/>
        <charset val="1"/>
      </rPr>
      <t xml:space="preserve">10</t>
    </r>
    <r>
      <rPr>
        <b val="true"/>
        <sz val="11"/>
        <color rgb="FFFFFFFF"/>
        <rFont val="Noto Sans CJK SC"/>
        <family val="2"/>
      </rPr>
      <t xml:space="preserve">월 방문</t>
    </r>
  </si>
  <si>
    <r>
      <rPr>
        <b val="true"/>
        <sz val="11"/>
        <color rgb="FFFFFFFF"/>
        <rFont val="Cambria"/>
        <family val="0"/>
        <charset val="1"/>
      </rPr>
      <t xml:space="preserve">11</t>
    </r>
    <r>
      <rPr>
        <b val="true"/>
        <sz val="11"/>
        <color rgb="FFFFFFFF"/>
        <rFont val="Noto Sans CJK SC"/>
        <family val="2"/>
      </rPr>
      <t xml:space="preserve">월 방문</t>
    </r>
  </si>
  <si>
    <r>
      <rPr>
        <b val="true"/>
        <sz val="11"/>
        <color rgb="FFFFFFFF"/>
        <rFont val="Cambria"/>
        <family val="0"/>
        <charset val="1"/>
      </rPr>
      <t xml:space="preserve">12</t>
    </r>
    <r>
      <rPr>
        <b val="true"/>
        <sz val="11"/>
        <color rgb="FFFFFFFF"/>
        <rFont val="Noto Sans CJK SC"/>
        <family val="2"/>
      </rPr>
      <t xml:space="preserve">월 방문</t>
    </r>
  </si>
  <si>
    <r>
      <rPr>
        <sz val="11"/>
        <color rgb="FF000000"/>
        <rFont val="Noto Sans CJK SC"/>
        <family val="2"/>
      </rPr>
      <t xml:space="preserve">유튜브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쇼츠</t>
    </r>
    <r>
      <rPr>
        <sz val="11"/>
        <color rgb="FF000000"/>
        <rFont val="Cambria"/>
        <family val="0"/>
        <charset val="1"/>
      </rPr>
      <t xml:space="preserve">+</t>
    </r>
    <r>
      <rPr>
        <sz val="11"/>
        <color rgb="FF000000"/>
        <rFont val="Noto Sans CJK SC"/>
        <family val="2"/>
      </rPr>
      <t xml:space="preserve">영상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</si>
  <si>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인스타그램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릴스</t>
    </r>
    <r>
      <rPr>
        <sz val="11"/>
        <color rgb="FF000000"/>
        <rFont val="Cambria"/>
        <family val="0"/>
        <charset val="1"/>
      </rPr>
      <t xml:space="preserve">+</t>
    </r>
    <r>
      <rPr>
        <sz val="11"/>
        <color rgb="FF000000"/>
        <rFont val="Noto Sans CJK SC"/>
        <family val="2"/>
      </rPr>
      <t xml:space="preserve">피드</t>
    </r>
    <r>
      <rPr>
        <sz val="11"/>
        <color rgb="FF000000"/>
        <rFont val="Cambria"/>
        <family val="0"/>
        <charset val="1"/>
      </rPr>
      <t xml:space="preserve">)</t>
    </r>
  </si>
  <si>
    <t xml:space="preserve">틱톡</t>
  </si>
  <si>
    <r>
      <rPr>
        <sz val="11"/>
        <color rgb="FF000000"/>
        <rFont val="Noto Sans CJK SC"/>
        <family val="2"/>
      </rPr>
      <t xml:space="preserve">블로그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구글</t>
    </r>
    <r>
      <rPr>
        <sz val="11"/>
        <color rgb="FF000000"/>
        <rFont val="Cambria"/>
        <family val="0"/>
        <charset val="1"/>
      </rPr>
      <t xml:space="preserve">+</t>
    </r>
    <r>
      <rPr>
        <sz val="11"/>
        <color rgb="FF000000"/>
        <rFont val="Noto Sans CJK SC"/>
        <family val="2"/>
      </rPr>
      <t xml:space="preserve">네이버</t>
    </r>
    <r>
      <rPr>
        <sz val="11"/>
        <color rgb="FF000000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</si>
  <si>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3) </t>
    </r>
    <r>
      <rPr>
        <b val="true"/>
        <sz val="11"/>
        <rFont val="Noto Sans CJK SC"/>
        <family val="2"/>
      </rPr>
      <t xml:space="preserve">방문→결제 전환율 </t>
    </r>
    <r>
      <rPr>
        <b val="true"/>
        <sz val="11"/>
        <rFont val="Cambria"/>
        <family val="0"/>
        <charset val="1"/>
      </rPr>
      <t xml:space="preserve">(Site Visit → Paid Signup)</t>
    </r>
  </si>
  <si>
    <r>
      <rPr>
        <i val="true"/>
        <sz val="9"/>
        <color rgb="FF666666"/>
        <rFont val="Noto Sans CJK SC"/>
        <family val="2"/>
      </rPr>
      <t xml:space="preserve">※ 여행 정보 구독 서비스 특성상 즉시결제보다 </t>
    </r>
    <r>
      <rPr>
        <i val="true"/>
        <sz val="9"/>
        <color rgb="FF666666"/>
        <rFont val="Cambria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여행 임박 시점</t>
    </r>
    <r>
      <rPr>
        <i val="true"/>
        <sz val="9"/>
        <color rgb="FF666666"/>
        <rFont val="Cambria"/>
        <family val="0"/>
        <charset val="1"/>
      </rPr>
      <t xml:space="preserve">' </t>
    </r>
    <r>
      <rPr>
        <i val="true"/>
        <sz val="9"/>
        <color rgb="FF666666"/>
        <rFont val="Noto Sans CJK SC"/>
        <family val="2"/>
      </rPr>
      <t xml:space="preserve">결제가 많아 방문 대비 낮은 전환율 가정</t>
    </r>
    <r>
      <rPr>
        <i val="true"/>
        <sz val="9"/>
        <color rgb="FF666666"/>
        <rFont val="Cambria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언어확장</t>
    </r>
    <r>
      <rPr>
        <i val="true"/>
        <sz val="9"/>
        <color rgb="FF666666"/>
        <rFont val="Cambria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중</t>
    </r>
    <r>
      <rPr>
        <i val="true"/>
        <sz val="9"/>
        <color rgb="FF666666"/>
        <rFont val="Cambria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일</t>
    </r>
    <r>
      <rPr>
        <i val="true"/>
        <sz val="9"/>
        <color rgb="FF666666"/>
        <rFont val="Cambria"/>
        <family val="0"/>
        <charset val="1"/>
      </rPr>
      <t xml:space="preserve">) </t>
    </r>
    <r>
      <rPr>
        <i val="true"/>
        <sz val="9"/>
        <color rgb="FF666666"/>
        <rFont val="Noto Sans CJK SC"/>
        <family val="2"/>
      </rPr>
      <t xml:space="preserve">시 도달모수 증가로 전환은 소폭 개선</t>
    </r>
    <r>
      <rPr>
        <i val="true"/>
        <sz val="9"/>
        <color rgb="FF666666"/>
        <rFont val="Cambria"/>
        <family val="0"/>
        <charset val="1"/>
      </rPr>
      <t xml:space="preserve">.</t>
    </r>
  </si>
  <si>
    <r>
      <rPr>
        <b val="true"/>
        <sz val="11"/>
        <rFont val="Cambria"/>
        <family val="0"/>
        <charset val="1"/>
      </rPr>
      <t xml:space="preserve">4) </t>
    </r>
    <r>
      <rPr>
        <b val="true"/>
        <sz val="11"/>
        <rFont val="Noto Sans CJK SC"/>
        <family val="2"/>
      </rPr>
      <t xml:space="preserve">월간 해지율</t>
    </r>
    <r>
      <rPr>
        <b val="true"/>
        <sz val="11"/>
        <rFont val="Cambria"/>
        <family val="0"/>
        <charset val="1"/>
      </rPr>
      <t xml:space="preserve">(Churn) — </t>
    </r>
    <r>
      <rPr>
        <b val="true"/>
        <sz val="11"/>
        <rFont val="Noto Sans CJK SC"/>
        <family val="2"/>
      </rPr>
      <t xml:space="preserve">여행 끝나면 해지하는 특성 반영</t>
    </r>
  </si>
  <si>
    <r>
      <rPr>
        <b val="true"/>
        <sz val="11"/>
        <color rgb="FFFFFFFF"/>
        <rFont val="Noto Sans CJK SC"/>
        <family val="2"/>
      </rPr>
      <t xml:space="preserve">월 </t>
    </r>
    <r>
      <rPr>
        <b val="true"/>
        <sz val="11"/>
        <color rgb="FFFFFFFF"/>
        <rFont val="Cambria"/>
        <family val="0"/>
        <charset val="1"/>
      </rPr>
      <t xml:space="preserve">Churn</t>
    </r>
    <r>
      <rPr>
        <b val="true"/>
        <sz val="11"/>
        <color rgb="FFFFFFFF"/>
        <rFont val="Noto Sans CJK SC"/>
        <family val="2"/>
      </rPr>
      <t xml:space="preserve">율</t>
    </r>
  </si>
  <si>
    <t xml:space="preserve">짧은 여행 후 대부분 해지</t>
  </si>
  <si>
    <t xml:space="preserve">일부는 재방문 예정으로 유지</t>
  </si>
  <si>
    <r>
      <rPr>
        <sz val="9"/>
        <color rgb="FF666666"/>
        <rFont val="Noto Sans CJK SC"/>
        <family val="2"/>
      </rPr>
      <t xml:space="preserve">장기체류</t>
    </r>
    <r>
      <rPr>
        <sz val="9"/>
        <color rgb="FF666666"/>
        <rFont val="Cambria"/>
        <family val="0"/>
        <charset val="1"/>
      </rPr>
      <t xml:space="preserve">·</t>
    </r>
    <r>
      <rPr>
        <sz val="9"/>
        <color rgb="FF666666"/>
        <rFont val="Noto Sans CJK SC"/>
        <family val="2"/>
      </rPr>
      <t xml:space="preserve">재방문객 비중 증가</t>
    </r>
  </si>
  <si>
    <t xml:space="preserve">브랜드 인지도로 재구독 심리 강화</t>
  </si>
  <si>
    <r>
      <rPr>
        <b val="true"/>
        <sz val="11"/>
        <rFont val="Cambria"/>
        <family val="0"/>
        <charset val="1"/>
      </rPr>
      <t xml:space="preserve">5) </t>
    </r>
    <r>
      <rPr>
        <b val="true"/>
        <sz val="11"/>
        <rFont val="Noto Sans CJK SC"/>
        <family val="2"/>
      </rPr>
      <t xml:space="preserve">언어 확장 전략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참고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계산에는 트래픽 가정에 이미 반영</t>
    </r>
    <r>
      <rPr>
        <b val="true"/>
        <sz val="11"/>
        <rFont val="Cambria"/>
        <family val="0"/>
        <charset val="1"/>
      </rPr>
      <t xml:space="preserve">)</t>
    </r>
  </si>
  <si>
    <r>
      <rPr>
        <sz val="9.5"/>
        <rFont val="Cambria"/>
        <family val="0"/>
        <charset val="1"/>
      </rPr>
      <t xml:space="preserve">· 9</t>
    </r>
    <r>
      <rPr>
        <sz val="9.5"/>
        <rFont val="Noto Sans CJK SC"/>
        <family val="2"/>
      </rPr>
      <t xml:space="preserve">월</t>
    </r>
    <r>
      <rPr>
        <sz val="9.5"/>
        <rFont val="Cambria"/>
        <family val="0"/>
        <charset val="1"/>
      </rPr>
      <t xml:space="preserve">: </t>
    </r>
    <r>
      <rPr>
        <sz val="9.5"/>
        <rFont val="Noto Sans CJK SC"/>
        <family val="2"/>
      </rPr>
      <t xml:space="preserve">한국어</t>
    </r>
    <r>
      <rPr>
        <sz val="9.5"/>
        <rFont val="Cambria"/>
        <family val="0"/>
        <charset val="1"/>
      </rPr>
      <t xml:space="preserve">+</t>
    </r>
    <r>
      <rPr>
        <sz val="9.5"/>
        <rFont val="Noto Sans CJK SC"/>
        <family val="2"/>
      </rPr>
      <t xml:space="preserve">영어 컨텐츠 집중 업로드 </t>
    </r>
    <r>
      <rPr>
        <sz val="9.5"/>
        <rFont val="Cambria"/>
        <family val="0"/>
        <charset val="1"/>
      </rPr>
      <t xml:space="preserve">(</t>
    </r>
    <r>
      <rPr>
        <sz val="9.5"/>
        <rFont val="Noto Sans CJK SC"/>
        <family val="2"/>
      </rPr>
      <t xml:space="preserve">신규 채널 빌드업 단계</t>
    </r>
    <r>
      <rPr>
        <sz val="9.5"/>
        <rFont val="Cambria"/>
        <family val="0"/>
        <charset val="1"/>
      </rPr>
      <t xml:space="preserve">)</t>
    </r>
  </si>
  <si>
    <r>
      <rPr>
        <sz val="9.5"/>
        <rFont val="Cambria"/>
        <family val="0"/>
        <charset val="1"/>
      </rPr>
      <t xml:space="preserve">· 10</t>
    </r>
    <r>
      <rPr>
        <sz val="9.5"/>
        <rFont val="Noto Sans CJK SC"/>
        <family val="2"/>
      </rPr>
      <t xml:space="preserve">월</t>
    </r>
    <r>
      <rPr>
        <sz val="9.5"/>
        <rFont val="Cambria"/>
        <family val="0"/>
        <charset val="1"/>
      </rPr>
      <t xml:space="preserve">: </t>
    </r>
    <r>
      <rPr>
        <sz val="9.5"/>
        <rFont val="Noto Sans CJK SC"/>
        <family val="2"/>
      </rPr>
      <t xml:space="preserve">한</t>
    </r>
    <r>
      <rPr>
        <sz val="9.5"/>
        <rFont val="Cambria"/>
        <family val="0"/>
        <charset val="1"/>
      </rPr>
      <t xml:space="preserve">/</t>
    </r>
    <r>
      <rPr>
        <sz val="9.5"/>
        <rFont val="Noto Sans CJK SC"/>
        <family val="2"/>
      </rPr>
      <t xml:space="preserve">영 콘텐츠 최적화 </t>
    </r>
    <r>
      <rPr>
        <sz val="9.5"/>
        <rFont val="Cambria"/>
        <family val="0"/>
        <charset val="1"/>
      </rPr>
      <t xml:space="preserve">+ </t>
    </r>
    <r>
      <rPr>
        <sz val="9.5"/>
        <rFont val="Noto Sans CJK SC"/>
        <family val="2"/>
      </rPr>
      <t xml:space="preserve">클릭률 높은 포맷 반복</t>
    </r>
    <r>
      <rPr>
        <sz val="9.5"/>
        <rFont val="Cambria"/>
        <family val="0"/>
        <charset val="1"/>
      </rPr>
      <t xml:space="preserve">, </t>
    </r>
    <r>
      <rPr>
        <sz val="9.5"/>
        <rFont val="Noto Sans CJK SC"/>
        <family val="2"/>
      </rPr>
      <t xml:space="preserve">팔로워 기반 형성</t>
    </r>
  </si>
  <si>
    <r>
      <rPr>
        <sz val="9.5"/>
        <rFont val="Cambria"/>
        <family val="0"/>
        <charset val="1"/>
      </rPr>
      <t xml:space="preserve">· 11</t>
    </r>
    <r>
      <rPr>
        <sz val="9.5"/>
        <rFont val="Noto Sans CJK SC"/>
        <family val="2"/>
      </rPr>
      <t xml:space="preserve">월</t>
    </r>
    <r>
      <rPr>
        <sz val="9.5"/>
        <rFont val="Cambria"/>
        <family val="0"/>
        <charset val="1"/>
      </rPr>
      <t xml:space="preserve">: </t>
    </r>
    <r>
      <rPr>
        <sz val="9.5"/>
        <rFont val="Noto Sans CJK SC"/>
        <family val="2"/>
      </rPr>
      <t xml:space="preserve">중국어</t>
    </r>
    <r>
      <rPr>
        <sz val="9.5"/>
        <rFont val="Cambria"/>
        <family val="0"/>
        <charset val="1"/>
      </rPr>
      <t xml:space="preserve">(</t>
    </r>
    <r>
      <rPr>
        <sz val="9.5"/>
        <rFont val="Noto Sans CJK SC"/>
        <family val="2"/>
      </rPr>
      <t xml:space="preserve">간체</t>
    </r>
    <r>
      <rPr>
        <sz val="9.5"/>
        <rFont val="Cambria"/>
        <family val="0"/>
        <charset val="1"/>
      </rPr>
      <t xml:space="preserve">) </t>
    </r>
    <r>
      <rPr>
        <sz val="9.5"/>
        <rFont val="Noto Sans CJK SC"/>
        <family val="2"/>
      </rPr>
      <t xml:space="preserve">콘텐츠 추가 진입</t>
    </r>
    <r>
      <rPr>
        <sz val="9.5"/>
        <rFont val="Cambria"/>
        <family val="0"/>
        <charset val="1"/>
      </rPr>
      <t xml:space="preserve">, </t>
    </r>
    <r>
      <rPr>
        <sz val="9.5"/>
        <rFont val="Noto Sans CJK SC"/>
        <family val="2"/>
      </rPr>
      <t xml:space="preserve">기존 한</t>
    </r>
    <r>
      <rPr>
        <sz val="9.5"/>
        <rFont val="Cambria"/>
        <family val="0"/>
        <charset val="1"/>
      </rPr>
      <t xml:space="preserve">/</t>
    </r>
    <r>
      <rPr>
        <sz val="9.5"/>
        <rFont val="Noto Sans CJK SC"/>
        <family val="2"/>
      </rPr>
      <t xml:space="preserve">영 콘텐츠 재활용 번역 업로드</t>
    </r>
  </si>
  <si>
    <r>
      <rPr>
        <sz val="9.5"/>
        <rFont val="Cambria"/>
        <family val="0"/>
        <charset val="1"/>
      </rPr>
      <t xml:space="preserve">· 12</t>
    </r>
    <r>
      <rPr>
        <sz val="9.5"/>
        <rFont val="Noto Sans CJK SC"/>
        <family val="2"/>
      </rPr>
      <t xml:space="preserve">월</t>
    </r>
    <r>
      <rPr>
        <sz val="9.5"/>
        <rFont val="Cambria"/>
        <family val="0"/>
        <charset val="1"/>
      </rPr>
      <t xml:space="preserve">: </t>
    </r>
    <r>
      <rPr>
        <sz val="9.5"/>
        <rFont val="Noto Sans CJK SC"/>
        <family val="2"/>
      </rPr>
      <t xml:space="preserve">일본어 콘텐츠 추가</t>
    </r>
    <r>
      <rPr>
        <sz val="9.5"/>
        <rFont val="Cambria"/>
        <family val="0"/>
        <charset val="1"/>
      </rPr>
      <t xml:space="preserve">, </t>
    </r>
    <r>
      <rPr>
        <sz val="9.5"/>
        <rFont val="Noto Sans CJK SC"/>
        <family val="2"/>
      </rPr>
      <t xml:space="preserve">연말 성수기</t>
    </r>
    <r>
      <rPr>
        <sz val="9.5"/>
        <rFont val="Cambria"/>
        <family val="0"/>
        <charset val="1"/>
      </rPr>
      <t xml:space="preserve">(</t>
    </r>
    <r>
      <rPr>
        <sz val="9.5"/>
        <rFont val="Noto Sans CJK SC"/>
        <family val="2"/>
      </rPr>
      <t xml:space="preserve">겨울여행</t>
    </r>
    <r>
      <rPr>
        <sz val="9.5"/>
        <rFont val="Cambria"/>
        <family val="0"/>
        <charset val="1"/>
      </rPr>
      <t xml:space="preserve">) </t>
    </r>
    <r>
      <rPr>
        <sz val="9.5"/>
        <rFont val="Noto Sans CJK SC"/>
        <family val="2"/>
      </rPr>
      <t xml:space="preserve">시즌성 반영해 트래픽 상승 가정</t>
    </r>
  </si>
  <si>
    <r>
      <rPr>
        <b val="true"/>
        <sz val="16"/>
        <rFont val="Cambria"/>
        <family val="0"/>
        <charset val="1"/>
      </rPr>
      <t xml:space="preserve">TAERIJAY </t>
    </r>
    <r>
      <rPr>
        <b val="true"/>
        <sz val="16"/>
        <rFont val="Noto Sans CJK SC"/>
        <family val="2"/>
      </rPr>
      <t xml:space="preserve">수익 시뮬레이션 — 시나리오 요약 비교</t>
    </r>
  </si>
  <si>
    <r>
      <rPr>
        <i val="true"/>
        <sz val="10"/>
        <color rgb="FF666666"/>
        <rFont val="Cambria"/>
        <family val="0"/>
        <charset val="1"/>
      </rPr>
      <t xml:space="preserve">2026-09-01 ~ 2026-12-31 · </t>
    </r>
    <r>
      <rPr>
        <i val="true"/>
        <sz val="10"/>
        <color rgb="FF666666"/>
        <rFont val="Noto Sans CJK SC"/>
        <family val="2"/>
      </rPr>
      <t xml:space="preserve">개인 </t>
    </r>
    <r>
      <rPr>
        <i val="true"/>
        <sz val="10"/>
        <color rgb="FF666666"/>
        <rFont val="Cambria"/>
        <family val="0"/>
        <charset val="1"/>
      </rPr>
      <t xml:space="preserve">SNS/</t>
    </r>
    <r>
      <rPr>
        <i val="true"/>
        <sz val="10"/>
        <color rgb="FF666666"/>
        <rFont val="Noto Sans CJK SC"/>
        <family val="2"/>
      </rPr>
      <t xml:space="preserve">블로그 홍보 기준</t>
    </r>
    <r>
      <rPr>
        <i val="true"/>
        <sz val="10"/>
        <color rgb="FF666666"/>
        <rFont val="Cambria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</rPr>
      <t xml:space="preserve">유료광고 미포함</t>
    </r>
    <r>
      <rPr>
        <i val="true"/>
        <sz val="10"/>
        <color rgb="FF666666"/>
        <rFont val="Cambria"/>
        <family val="0"/>
        <charset val="1"/>
      </rPr>
      <t xml:space="preserve">) · </t>
    </r>
    <r>
      <rPr>
        <i val="true"/>
        <sz val="10"/>
        <color rgb="FF666666"/>
        <rFont val="Noto Sans CJK SC"/>
        <family val="2"/>
      </rPr>
      <t xml:space="preserve">한</t>
    </r>
    <r>
      <rPr>
        <i val="true"/>
        <sz val="10"/>
        <color rgb="FF666666"/>
        <rFont val="Cambria"/>
        <family val="0"/>
        <charset val="1"/>
      </rPr>
      <t xml:space="preserve">/</t>
    </r>
    <r>
      <rPr>
        <i val="true"/>
        <sz val="10"/>
        <color rgb="FF666666"/>
        <rFont val="Noto Sans CJK SC"/>
        <family val="2"/>
      </rPr>
      <t xml:space="preserve">영 우선</t>
    </r>
    <r>
      <rPr>
        <i val="true"/>
        <sz val="10"/>
        <color rgb="FF666666"/>
        <rFont val="Cambria"/>
        <family val="0"/>
        <charset val="1"/>
      </rPr>
      <t xml:space="preserve">, 11</t>
    </r>
    <r>
      <rPr>
        <i val="true"/>
        <sz val="10"/>
        <color rgb="FF666666"/>
        <rFont val="Noto Sans CJK SC"/>
        <family val="2"/>
      </rPr>
      <t xml:space="preserve">월부터 중국어</t>
    </r>
    <r>
      <rPr>
        <i val="true"/>
        <sz val="10"/>
        <color rgb="FF666666"/>
        <rFont val="Cambria"/>
        <family val="0"/>
        <charset val="1"/>
      </rPr>
      <t xml:space="preserve">, 12</t>
    </r>
    <r>
      <rPr>
        <i val="true"/>
        <sz val="10"/>
        <color rgb="FF666666"/>
        <rFont val="Noto Sans CJK SC"/>
        <family val="2"/>
      </rPr>
      <t xml:space="preserve">월부터 일본어 확장</t>
    </r>
  </si>
  <si>
    <r>
      <rPr>
        <b val="true"/>
        <sz val="11"/>
        <rFont val="Cambria"/>
        <family val="0"/>
        <charset val="1"/>
      </rPr>
      <t xml:space="preserve">[1] </t>
    </r>
    <r>
      <rPr>
        <b val="true"/>
        <sz val="11"/>
        <rFont val="Noto Sans CJK SC"/>
        <family val="2"/>
      </rPr>
      <t xml:space="preserve">월별 매출 비교 </t>
    </r>
    <r>
      <rPr>
        <b val="true"/>
        <sz val="11"/>
        <rFont val="Cambria"/>
        <family val="0"/>
        <charset val="1"/>
      </rPr>
      <t xml:space="preserve">(USD)</t>
    </r>
  </si>
  <si>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개월 합계</t>
    </r>
  </si>
  <si>
    <r>
      <rPr>
        <b val="true"/>
        <sz val="11"/>
        <rFont val="Cambria"/>
        <family val="0"/>
        <charset val="1"/>
      </rPr>
      <t xml:space="preserve">[2] </t>
    </r>
    <r>
      <rPr>
        <b val="true"/>
        <sz val="11"/>
        <rFont val="Noto Sans CJK SC"/>
        <family val="2"/>
      </rPr>
      <t xml:space="preserve">월별 매출 비교 </t>
    </r>
    <r>
      <rPr>
        <b val="true"/>
        <sz val="11"/>
        <rFont val="Cambria"/>
        <family val="0"/>
        <charset val="1"/>
      </rPr>
      <t xml:space="preserve">(KRW, ₩1,400/$ </t>
    </r>
    <r>
      <rPr>
        <b val="true"/>
        <sz val="11"/>
        <rFont val="Noto Sans CJK SC"/>
        <family val="2"/>
      </rPr>
      <t xml:space="preserve">환산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</si>
  <si>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[3] 12</t>
    </r>
    <r>
      <rPr>
        <b val="true"/>
        <sz val="11"/>
        <rFont val="Noto Sans CJK SC"/>
        <family val="2"/>
      </rPr>
      <t xml:space="preserve">월말 기준 활성 유료 구독자 수</t>
    </r>
  </si>
  <si>
    <r>
      <rPr>
        <b val="true"/>
        <sz val="11"/>
        <color rgb="FFFFFFFF"/>
        <rFont val="Cambria"/>
        <family val="0"/>
        <charset val="1"/>
      </rPr>
      <t xml:space="preserve">12</t>
    </r>
    <r>
      <rPr>
        <b val="true"/>
        <sz val="11"/>
        <color rgb="FFFFFFFF"/>
        <rFont val="Noto Sans CJK SC"/>
        <family val="2"/>
      </rPr>
      <t xml:space="preserve">월말 활성 구독자</t>
    </r>
  </si>
  <si>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개월 누적 신규가입</t>
    </r>
  </si>
  <si>
    <r>
      <rPr>
        <b val="true"/>
        <sz val="11"/>
        <rFont val="Cambria"/>
        <family val="0"/>
        <charset val="1"/>
      </rPr>
      <t xml:space="preserve">[4] 4</t>
    </r>
    <r>
      <rPr>
        <b val="true"/>
        <sz val="11"/>
        <rFont val="Noto Sans CJK SC"/>
        <family val="2"/>
      </rPr>
      <t xml:space="preserve">개월 총매출 한눈에 보기 </t>
    </r>
    <r>
      <rPr>
        <b val="true"/>
        <sz val="11"/>
        <rFont val="Cambria"/>
        <family val="0"/>
        <charset val="1"/>
      </rPr>
      <t xml:space="preserve">(USD / KRW)</t>
    </r>
  </si>
  <si>
    <r>
      <rPr>
        <b val="true"/>
        <sz val="11"/>
        <color rgb="FFFFFFFF"/>
        <rFont val="Noto Sans CJK SC"/>
        <family val="2"/>
      </rPr>
      <t xml:space="preserve">총매출 </t>
    </r>
    <r>
      <rPr>
        <b val="true"/>
        <sz val="11"/>
        <color rgb="FFFFFFFF"/>
        <rFont val="Cambria"/>
        <family val="0"/>
        <charset val="1"/>
      </rPr>
      <t xml:space="preserve">(USD)</t>
    </r>
  </si>
  <si>
    <r>
      <rPr>
        <b val="true"/>
        <sz val="11"/>
        <color rgb="FFFFFFFF"/>
        <rFont val="Noto Sans CJK SC"/>
        <family val="2"/>
      </rPr>
      <t xml:space="preserve">총매출 </t>
    </r>
    <r>
      <rPr>
        <b val="true"/>
        <sz val="11"/>
        <color rgb="FFFFFFFF"/>
        <rFont val="Cambria"/>
        <family val="0"/>
        <charset val="1"/>
      </rPr>
      <t xml:space="preserve">(KRW)</t>
    </r>
  </si>
  <si>
    <r>
      <rPr>
        <i val="true"/>
        <sz val="9"/>
        <color rgb="FFB91C1C"/>
        <rFont val="Noto Sans CJK SC"/>
        <family val="2"/>
      </rPr>
      <t xml:space="preserve">※ 이 시뮬레이션은 실제 성과를 보장하지 않는 가정 기반 추정치입니다</t>
    </r>
    <r>
      <rPr>
        <i val="true"/>
        <sz val="9"/>
        <color rgb="FFB91C1C"/>
        <rFont val="Cambria"/>
        <family val="0"/>
        <charset val="1"/>
      </rPr>
      <t xml:space="preserve">. '</t>
    </r>
    <r>
      <rPr>
        <i val="true"/>
        <sz val="9"/>
        <color rgb="FFB91C1C"/>
        <rFont val="Noto Sans CJK SC"/>
        <family val="2"/>
      </rPr>
      <t xml:space="preserve">가정</t>
    </r>
    <r>
      <rPr>
        <i val="true"/>
        <sz val="9"/>
        <color rgb="FFB91C1C"/>
        <rFont val="Cambria"/>
        <family val="0"/>
        <charset val="1"/>
      </rPr>
      <t xml:space="preserve">' </t>
    </r>
    <r>
      <rPr>
        <i val="true"/>
        <sz val="9"/>
        <color rgb="FFB91C1C"/>
        <rFont val="Noto Sans CJK SC"/>
        <family val="2"/>
      </rPr>
      <t xml:space="preserve">탭의 파란 글씨 입력값을 조정하면 전체 수치가 자동 재계산됩니다</t>
    </r>
    <r>
      <rPr>
        <i val="true"/>
        <sz val="9"/>
        <color rgb="FFB91C1C"/>
        <rFont val="Cambria"/>
        <family val="0"/>
        <charset val="1"/>
      </rPr>
      <t xml:space="preserve">.</t>
    </r>
  </si>
  <si>
    <r>
      <rPr>
        <i val="true"/>
        <sz val="9"/>
        <color rgb="FFB91C1C"/>
        <rFont val="Noto Sans CJK SC"/>
        <family val="2"/>
      </rPr>
      <t xml:space="preserve">※ 결제 프로세서</t>
    </r>
    <r>
      <rPr>
        <i val="true"/>
        <sz val="9"/>
        <color rgb="FFB91C1C"/>
        <rFont val="Cambria"/>
        <family val="0"/>
        <charset val="1"/>
      </rPr>
      <t xml:space="preserve">(Paddle </t>
    </r>
    <r>
      <rPr>
        <i val="true"/>
        <sz val="9"/>
        <color rgb="FFB91C1C"/>
        <rFont val="Noto Sans CJK SC"/>
        <family val="2"/>
      </rPr>
      <t xml:space="preserve">등</t>
    </r>
    <r>
      <rPr>
        <i val="true"/>
        <sz val="9"/>
        <color rgb="FFB91C1C"/>
        <rFont val="Cambria"/>
        <family val="0"/>
        <charset val="1"/>
      </rPr>
      <t xml:space="preserve">) </t>
    </r>
    <r>
      <rPr>
        <i val="true"/>
        <sz val="9"/>
        <color rgb="FFB91C1C"/>
        <rFont val="Noto Sans CJK SC"/>
        <family val="2"/>
      </rPr>
      <t xml:space="preserve">수수료</t>
    </r>
    <r>
      <rPr>
        <i val="true"/>
        <sz val="9"/>
        <color rgb="FFB91C1C"/>
        <rFont val="Cambria"/>
        <family val="0"/>
        <charset val="1"/>
      </rPr>
      <t xml:space="preserve">(</t>
    </r>
    <r>
      <rPr>
        <i val="true"/>
        <sz val="9"/>
        <color rgb="FFB91C1C"/>
        <rFont val="Noto Sans CJK SC"/>
        <family val="2"/>
      </rPr>
      <t xml:space="preserve">약 </t>
    </r>
    <r>
      <rPr>
        <i val="true"/>
        <sz val="9"/>
        <color rgb="FFB91C1C"/>
        <rFont val="Cambria"/>
        <family val="0"/>
        <charset val="1"/>
      </rPr>
      <t xml:space="preserve">5%), </t>
    </r>
    <r>
      <rPr>
        <i val="true"/>
        <sz val="9"/>
        <color rgb="FFB91C1C"/>
        <rFont val="Noto Sans CJK SC"/>
        <family val="2"/>
      </rPr>
      <t xml:space="preserve">부가세</t>
    </r>
    <r>
      <rPr>
        <i val="true"/>
        <sz val="9"/>
        <color rgb="FFB91C1C"/>
        <rFont val="Cambria"/>
        <family val="0"/>
        <charset val="1"/>
      </rPr>
      <t xml:space="preserve">, </t>
    </r>
    <r>
      <rPr>
        <i val="true"/>
        <sz val="9"/>
        <color rgb="FFB91C1C"/>
        <rFont val="Noto Sans CJK SC"/>
        <family val="2"/>
      </rPr>
      <t xml:space="preserve">환율 변동은 반영되지 않은 총매출</t>
    </r>
    <r>
      <rPr>
        <i val="true"/>
        <sz val="9"/>
        <color rgb="FFB91C1C"/>
        <rFont val="Cambria"/>
        <family val="0"/>
        <charset val="1"/>
      </rPr>
      <t xml:space="preserve">(Gross Revenue) </t>
    </r>
    <r>
      <rPr>
        <i val="true"/>
        <sz val="9"/>
        <color rgb="FFB91C1C"/>
        <rFont val="Noto Sans CJK SC"/>
        <family val="2"/>
      </rPr>
      <t xml:space="preserve">기준입니다</t>
    </r>
    <r>
      <rPr>
        <i val="true"/>
        <sz val="9"/>
        <color rgb="FFB91C1C"/>
        <rFont val="Cambria"/>
        <family val="0"/>
        <charset val="1"/>
      </rPr>
      <t xml:space="preserve">.</t>
    </r>
  </si>
  <si>
    <r>
      <rPr>
        <b val="true"/>
        <sz val="16"/>
        <rFont val="Cambria"/>
        <family val="0"/>
        <charset val="1"/>
      </rPr>
      <t xml:space="preserve">TAERIJAY </t>
    </r>
    <r>
      <rPr>
        <b val="true"/>
        <sz val="16"/>
        <rFont val="Noto Sans CJK SC"/>
        <family val="2"/>
      </rPr>
      <t xml:space="preserve">수익 시뮬레이션 — ① 최소 시나리오</t>
    </r>
  </si>
  <si>
    <r>
      <rPr>
        <i val="true"/>
        <sz val="10"/>
        <color rgb="FF666666"/>
        <rFont val="Noto Sans CJK SC"/>
        <family val="2"/>
      </rPr>
      <t xml:space="preserve">모든 입력값</t>
    </r>
    <r>
      <rPr>
        <i val="true"/>
        <sz val="10"/>
        <color rgb="FF666666"/>
        <rFont val="Cambria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</rPr>
      <t xml:space="preserve">파란 글�씨</t>
    </r>
    <r>
      <rPr>
        <i val="true"/>
        <sz val="10"/>
        <color rgb="FF666666"/>
        <rFont val="Cambria"/>
        <family val="0"/>
        <charset val="1"/>
      </rPr>
      <t xml:space="preserve">)</t>
    </r>
    <r>
      <rPr>
        <i val="true"/>
        <sz val="10"/>
        <color rgb="FF666666"/>
        <rFont val="Noto Sans CJK SC"/>
        <family val="2"/>
      </rPr>
      <t xml:space="preserve">은 </t>
    </r>
    <r>
      <rPr>
        <i val="true"/>
        <sz val="10"/>
        <color rgb="FF666666"/>
        <rFont val="Cambria"/>
        <family val="0"/>
        <charset val="1"/>
      </rPr>
      <t xml:space="preserve">'</t>
    </r>
    <r>
      <rPr>
        <i val="true"/>
        <sz val="10"/>
        <color rgb="FF666666"/>
        <rFont val="Noto Sans CJK SC"/>
        <family val="2"/>
      </rPr>
      <t xml:space="preserve">가정</t>
    </r>
    <r>
      <rPr>
        <i val="true"/>
        <sz val="10"/>
        <color rgb="FF666666"/>
        <rFont val="Cambria"/>
        <family val="0"/>
        <charset val="1"/>
      </rPr>
      <t xml:space="preserve">' </t>
    </r>
    <r>
      <rPr>
        <i val="true"/>
        <sz val="10"/>
        <color rgb="FF666666"/>
        <rFont val="Noto Sans CJK SC"/>
        <family val="2"/>
      </rPr>
      <t xml:space="preserve">탭에서 관리됩니다</t>
    </r>
    <r>
      <rPr>
        <i val="true"/>
        <sz val="10"/>
        <color rgb="FF666666"/>
        <rFont val="Cambria"/>
        <family val="0"/>
        <charset val="1"/>
      </rPr>
      <t xml:space="preserve">. </t>
    </r>
    <r>
      <rPr>
        <i val="true"/>
        <sz val="10"/>
        <color rgb="FF666666"/>
        <rFont val="Noto Sans CJK SC"/>
        <family val="2"/>
      </rPr>
      <t xml:space="preserve">이 시트는 계산만 수행합니다</t>
    </r>
    <r>
      <rPr>
        <i val="true"/>
        <sz val="10"/>
        <color rgb="FF666666"/>
        <rFont val="Cambria"/>
        <family val="0"/>
        <charset val="1"/>
      </rPr>
      <t xml:space="preserve">.</t>
    </r>
  </si>
  <si>
    <r>
      <rPr>
        <b val="true"/>
        <sz val="11"/>
        <rFont val="Cambria"/>
        <family val="0"/>
        <charset val="1"/>
      </rPr>
      <t xml:space="preserve">1) </t>
    </r>
    <r>
      <rPr>
        <b val="true"/>
        <sz val="11"/>
        <rFont val="Noto Sans CJK SC"/>
        <family val="2"/>
      </rPr>
      <t xml:space="preserve">채널별 월간 순방문자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가정 탭 연동</t>
    </r>
    <r>
      <rPr>
        <b val="true"/>
        <sz val="11"/>
        <rFont val="Cambria"/>
        <family val="0"/>
        <charset val="1"/>
      </rPr>
      <t xml:space="preserve">)</t>
    </r>
  </si>
  <si>
    <t xml:space="preserve">합계 방문자</t>
  </si>
  <si>
    <r>
      <rPr>
        <b val="true"/>
        <sz val="11"/>
        <rFont val="Cambria"/>
        <family val="0"/>
        <charset val="1"/>
      </rPr>
      <t xml:space="preserve">2) </t>
    </r>
    <r>
      <rPr>
        <b val="true"/>
        <sz val="11"/>
        <rFont val="Noto Sans CJK SC"/>
        <family val="2"/>
      </rPr>
      <t xml:space="preserve">방문→결제 전환율 및 월간 신규 유료가입</t>
    </r>
  </si>
  <si>
    <r>
      <rPr>
        <sz val="11"/>
        <color rgb="FF000000"/>
        <rFont val="Noto Sans CJK SC"/>
        <family val="2"/>
      </rPr>
      <t xml:space="preserve">전환율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가정탭 연동</t>
    </r>
    <r>
      <rPr>
        <sz val="11"/>
        <color rgb="FF000000"/>
        <rFont val="Cambria"/>
        <family val="0"/>
        <charset val="1"/>
      </rPr>
      <t xml:space="preserve">)</t>
    </r>
  </si>
  <si>
    <t xml:space="preserve">신규 유료가입자 수</t>
  </si>
  <si>
    <r>
      <rPr>
        <b val="true"/>
        <sz val="11"/>
        <rFont val="Cambria"/>
        <family val="0"/>
        <charset val="1"/>
      </rPr>
      <t xml:space="preserve">3) </t>
    </r>
    <r>
      <rPr>
        <b val="true"/>
        <sz val="11"/>
        <rFont val="Noto Sans CJK SC"/>
        <family val="2"/>
      </rPr>
      <t xml:space="preserve">월간 </t>
    </r>
    <r>
      <rPr>
        <b val="true"/>
        <sz val="11"/>
        <rFont val="Cambria"/>
        <family val="0"/>
        <charset val="1"/>
      </rPr>
      <t xml:space="preserve">Churn </t>
    </r>
    <r>
      <rPr>
        <b val="true"/>
        <sz val="11"/>
        <rFont val="Noto Sans CJK SC"/>
        <family val="2"/>
      </rPr>
      <t xml:space="preserve">반영 누적 활성 구독자</t>
    </r>
  </si>
  <si>
    <r>
      <rPr>
        <sz val="9"/>
        <color rgb="FF666666"/>
        <rFont val="Noto Sans CJK SC"/>
        <family val="2"/>
      </rPr>
      <t xml:space="preserve">월 </t>
    </r>
    <r>
      <rPr>
        <sz val="9"/>
        <color rgb="FF666666"/>
        <rFont val="Cambria"/>
        <family val="0"/>
        <charset val="1"/>
      </rPr>
      <t xml:space="preserve">Churn</t>
    </r>
    <r>
      <rPr>
        <sz val="9"/>
        <color rgb="FF666666"/>
        <rFont val="Noto Sans CJK SC"/>
        <family val="2"/>
      </rPr>
      <t xml:space="preserve">율 </t>
    </r>
    <r>
      <rPr>
        <sz val="9"/>
        <color rgb="FF666666"/>
        <rFont val="Cambria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가정탭 연동</t>
    </r>
    <r>
      <rPr>
        <sz val="9"/>
        <color rgb="FF666666"/>
        <rFont val="Cambria"/>
        <family val="0"/>
        <charset val="1"/>
      </rPr>
      <t xml:space="preserve">) = ='</t>
    </r>
    <r>
      <rPr>
        <sz val="9"/>
        <color rgb="FF666666"/>
        <rFont val="Noto Sans CJK SC"/>
        <family val="2"/>
      </rPr>
      <t xml:space="preserve">가정</t>
    </r>
    <r>
      <rPr>
        <sz val="9"/>
        <color rgb="FF666666"/>
        <rFont val="Cambria"/>
        <family val="0"/>
        <charset val="1"/>
      </rPr>
      <t xml:space="preserve">'!B52</t>
    </r>
  </si>
  <si>
    <t xml:space="preserve">기초 구독자</t>
  </si>
  <si>
    <t xml:space="preserve">신규 유료가입자</t>
  </si>
  <si>
    <r>
      <rPr>
        <sz val="11"/>
        <color rgb="FF000000"/>
        <rFont val="Noto Sans CJK SC"/>
        <family val="2"/>
      </rPr>
      <t xml:space="preserve">해지자 수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기초</t>
    </r>
    <r>
      <rPr>
        <sz val="11"/>
        <color rgb="FF000000"/>
        <rFont val="Cambria"/>
        <family val="0"/>
        <charset val="1"/>
      </rPr>
      <t xml:space="preserve">×Churn</t>
    </r>
    <r>
      <rPr>
        <sz val="11"/>
        <color rgb="FF000000"/>
        <rFont val="Noto Sans CJK SC"/>
        <family val="2"/>
      </rPr>
      <t xml:space="preserve">율</t>
    </r>
    <r>
      <rPr>
        <sz val="11"/>
        <color rgb="FF000000"/>
        <rFont val="Cambria"/>
        <family val="0"/>
        <charset val="1"/>
      </rPr>
      <t xml:space="preserve">)</t>
    </r>
  </si>
  <si>
    <t xml:space="preserve">기말 활성 구독자</t>
  </si>
  <si>
    <r>
      <rPr>
        <b val="true"/>
        <sz val="11"/>
        <rFont val="Cambria"/>
        <family val="0"/>
        <charset val="1"/>
      </rPr>
      <t xml:space="preserve">4) </t>
    </r>
    <r>
      <rPr>
        <b val="true"/>
        <sz val="11"/>
        <rFont val="Noto Sans CJK SC"/>
        <family val="2"/>
      </rPr>
      <t xml:space="preserve">월 매출 </t>
    </r>
    <r>
      <rPr>
        <b val="true"/>
        <sz val="11"/>
        <rFont val="Cambria"/>
        <family val="0"/>
        <charset val="1"/>
      </rPr>
      <t xml:space="preserve">(ARPU × </t>
    </r>
    <r>
      <rPr>
        <b val="true"/>
        <sz val="11"/>
        <rFont val="Noto Sans CJK SC"/>
        <family val="2"/>
      </rPr>
      <t xml:space="preserve">기말 활성 구독자</t>
    </r>
    <r>
      <rPr>
        <b val="true"/>
        <sz val="11"/>
        <rFont val="Cambria"/>
        <family val="0"/>
        <charset val="1"/>
      </rPr>
      <t xml:space="preserve">)</t>
    </r>
  </si>
  <si>
    <t xml:space="preserve">구분</t>
  </si>
  <si>
    <r>
      <rPr>
        <sz val="11"/>
        <color rgb="FF000000"/>
        <rFont val="Cambria"/>
        <family val="0"/>
        <charset val="1"/>
      </rPr>
      <t xml:space="preserve">ARPU (</t>
    </r>
    <r>
      <rPr>
        <sz val="11"/>
        <color rgb="FF000000"/>
        <rFont val="Noto Sans CJK SC"/>
        <family val="2"/>
      </rPr>
      <t xml:space="preserve">가정탭 연동</t>
    </r>
    <r>
      <rPr>
        <sz val="11"/>
        <color rgb="FF000000"/>
        <rFont val="Cambria"/>
        <family val="0"/>
        <charset val="1"/>
      </rPr>
      <t xml:space="preserve">, USD)</t>
    </r>
  </si>
  <si>
    <r>
      <rPr>
        <b val="true"/>
        <sz val="11"/>
        <rFont val="Noto Sans CJK SC"/>
        <family val="2"/>
      </rPr>
      <t xml:space="preserve">월 매출 </t>
    </r>
    <r>
      <rPr>
        <b val="true"/>
        <sz val="11"/>
        <rFont val="Cambria"/>
        <family val="0"/>
        <charset val="1"/>
      </rPr>
      <t xml:space="preserve">(USD)</t>
    </r>
  </si>
  <si>
    <r>
      <rPr>
        <sz val="11"/>
        <color rgb="FF000000"/>
        <rFont val="Noto Sans CJK SC"/>
        <family val="2"/>
      </rPr>
      <t xml:space="preserve">월 매출 </t>
    </r>
    <r>
      <rPr>
        <sz val="11"/>
        <color rgb="FF000000"/>
        <rFont val="Cambria"/>
        <family val="0"/>
        <charset val="1"/>
      </rPr>
      <t xml:space="preserve">(KRW </t>
    </r>
    <r>
      <rPr>
        <sz val="11"/>
        <color rgb="FF000000"/>
        <rFont val="Noto Sans CJK SC"/>
        <family val="2"/>
      </rPr>
      <t xml:space="preserve">환산</t>
    </r>
    <r>
      <rPr>
        <sz val="11"/>
        <color rgb="FF000000"/>
        <rFont val="Cambria"/>
        <family val="0"/>
        <charset val="1"/>
      </rPr>
      <t xml:space="preserve">, ₩1,400/$)</t>
    </r>
  </si>
  <si>
    <r>
      <rPr>
        <i val="true"/>
        <sz val="9"/>
        <color rgb="FF666666"/>
        <rFont val="Noto Sans CJK SC"/>
        <family val="2"/>
      </rPr>
      <t xml:space="preserve">참고</t>
    </r>
    <r>
      <rPr>
        <i val="true"/>
        <sz val="9"/>
        <color rgb="FF666666"/>
        <rFont val="Cambria"/>
        <family val="0"/>
        <charset val="1"/>
      </rPr>
      <t xml:space="preserve">: 4</t>
    </r>
    <r>
      <rPr>
        <i val="true"/>
        <sz val="9"/>
        <color rgb="FF666666"/>
        <rFont val="Noto Sans CJK SC"/>
        <family val="2"/>
      </rPr>
      <t xml:space="preserve">개월 누적 신규 유료가입자 수 </t>
    </r>
    <r>
      <rPr>
        <i val="true"/>
        <sz val="9"/>
        <color rgb="FF666666"/>
        <rFont val="Cambria"/>
        <family val="0"/>
        <charset val="1"/>
      </rPr>
      <t xml:space="preserve">=</t>
    </r>
  </si>
  <si>
    <r>
      <rPr>
        <i val="true"/>
        <sz val="9"/>
        <color rgb="FF666666"/>
        <rFont val="Noto Sans CJK SC"/>
        <family val="2"/>
      </rPr>
      <t xml:space="preserve">참고</t>
    </r>
    <r>
      <rPr>
        <i val="true"/>
        <sz val="9"/>
        <color rgb="FF666666"/>
        <rFont val="Cambria"/>
        <family val="0"/>
        <charset val="1"/>
      </rPr>
      <t xml:space="preserve">: 12</t>
    </r>
    <r>
      <rPr>
        <i val="true"/>
        <sz val="9"/>
        <color rgb="FF666666"/>
        <rFont val="Noto Sans CJK SC"/>
        <family val="2"/>
      </rPr>
      <t xml:space="preserve">월말 기준 활성 구독자 수 </t>
    </r>
    <r>
      <rPr>
        <i val="true"/>
        <sz val="9"/>
        <color rgb="FF666666"/>
        <rFont val="Cambria"/>
        <family val="0"/>
        <charset val="1"/>
      </rPr>
      <t xml:space="preserve">=</t>
    </r>
  </si>
  <si>
    <r>
      <rPr>
        <b val="true"/>
        <sz val="12"/>
        <color rgb="FFFFFFFF"/>
        <rFont val="Cambria"/>
        <family val="0"/>
        <charset val="1"/>
      </rPr>
      <t xml:space="preserve">4</t>
    </r>
    <r>
      <rPr>
        <b val="true"/>
        <sz val="12"/>
        <color rgb="FFFFFFFF"/>
        <rFont val="Noto Sans CJK SC"/>
        <family val="2"/>
      </rPr>
      <t xml:space="preserve">개월 총 매출 </t>
    </r>
    <r>
      <rPr>
        <b val="true"/>
        <sz val="12"/>
        <color rgb="FFFFFFFF"/>
        <rFont val="Cambria"/>
        <family val="0"/>
        <charset val="1"/>
      </rPr>
      <t xml:space="preserve">(USD)</t>
    </r>
  </si>
  <si>
    <r>
      <rPr>
        <b val="true"/>
        <sz val="12"/>
        <color rgb="FFFFFFFF"/>
        <rFont val="Cambria"/>
        <family val="0"/>
        <charset val="1"/>
      </rPr>
      <t xml:space="preserve">4</t>
    </r>
    <r>
      <rPr>
        <b val="true"/>
        <sz val="12"/>
        <color rgb="FFFFFFFF"/>
        <rFont val="Noto Sans CJK SC"/>
        <family val="2"/>
      </rPr>
      <t xml:space="preserve">개월 총 매출 </t>
    </r>
    <r>
      <rPr>
        <b val="true"/>
        <sz val="12"/>
        <color rgb="FFFFFFFF"/>
        <rFont val="Cambria"/>
        <family val="0"/>
        <charset val="1"/>
      </rPr>
      <t xml:space="preserve">(KRW)</t>
    </r>
  </si>
  <si>
    <r>
      <rPr>
        <i val="true"/>
        <sz val="9"/>
        <color rgb="FFB91C1C"/>
        <rFont val="Cambria"/>
        <family val="0"/>
        <charset val="1"/>
      </rPr>
      <t xml:space="preserve">※ Paddle/PG </t>
    </r>
    <r>
      <rPr>
        <i val="true"/>
        <sz val="9"/>
        <color rgb="FFB91C1C"/>
        <rFont val="Noto Sans CJK SC"/>
        <family val="2"/>
      </rPr>
      <t xml:space="preserve">수수료</t>
    </r>
    <r>
      <rPr>
        <i val="true"/>
        <sz val="9"/>
        <color rgb="FFB91C1C"/>
        <rFont val="Cambria"/>
        <family val="0"/>
        <charset val="1"/>
      </rPr>
      <t xml:space="preserve">(</t>
    </r>
    <r>
      <rPr>
        <i val="true"/>
        <sz val="9"/>
        <color rgb="FFB91C1C"/>
        <rFont val="Noto Sans CJK SC"/>
        <family val="2"/>
      </rPr>
      <t xml:space="preserve">약 </t>
    </r>
    <r>
      <rPr>
        <i val="true"/>
        <sz val="9"/>
        <color rgb="FFB91C1C"/>
        <rFont val="Cambria"/>
        <family val="0"/>
        <charset val="1"/>
      </rPr>
      <t xml:space="preserve">5%) </t>
    </r>
    <r>
      <rPr>
        <i val="true"/>
        <sz val="9"/>
        <color rgb="FFB91C1C"/>
        <rFont val="Noto Sans CJK SC"/>
        <family val="2"/>
      </rPr>
      <t xml:space="preserve">및 부가세 등은 미차감한 총매출</t>
    </r>
    <r>
      <rPr>
        <i val="true"/>
        <sz val="9"/>
        <color rgb="FFB91C1C"/>
        <rFont val="Cambria"/>
        <family val="0"/>
        <charset val="1"/>
      </rPr>
      <t xml:space="preserve">(Gross) </t>
    </r>
    <r>
      <rPr>
        <i val="true"/>
        <sz val="9"/>
        <color rgb="FFB91C1C"/>
        <rFont val="Noto Sans CJK SC"/>
        <family val="2"/>
      </rPr>
      <t xml:space="preserve">기준입니다</t>
    </r>
    <r>
      <rPr>
        <i val="true"/>
        <sz val="9"/>
        <color rgb="FFB91C1C"/>
        <rFont val="Cambria"/>
        <family val="0"/>
        <charset val="1"/>
      </rPr>
      <t xml:space="preserve">.</t>
    </r>
  </si>
  <si>
    <r>
      <rPr>
        <b val="true"/>
        <sz val="16"/>
        <rFont val="Cambria"/>
        <family val="0"/>
        <charset val="1"/>
      </rPr>
      <t xml:space="preserve">TAERIJAY </t>
    </r>
    <r>
      <rPr>
        <b val="true"/>
        <sz val="16"/>
        <rFont val="Noto Sans CJK SC"/>
        <family val="2"/>
      </rPr>
      <t xml:space="preserve">수익 시뮬레이션 — ② 평균 시나리오</t>
    </r>
  </si>
  <si>
    <r>
      <rPr>
        <sz val="9"/>
        <color rgb="FF666666"/>
        <rFont val="Noto Sans CJK SC"/>
        <family val="2"/>
      </rPr>
      <t xml:space="preserve">월 </t>
    </r>
    <r>
      <rPr>
        <sz val="9"/>
        <color rgb="FF666666"/>
        <rFont val="Cambria"/>
        <family val="0"/>
        <charset val="1"/>
      </rPr>
      <t xml:space="preserve">Churn</t>
    </r>
    <r>
      <rPr>
        <sz val="9"/>
        <color rgb="FF666666"/>
        <rFont val="Noto Sans CJK SC"/>
        <family val="2"/>
      </rPr>
      <t xml:space="preserve">율 </t>
    </r>
    <r>
      <rPr>
        <sz val="9"/>
        <color rgb="FF666666"/>
        <rFont val="Cambria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가정탭 연동</t>
    </r>
    <r>
      <rPr>
        <sz val="9"/>
        <color rgb="FF666666"/>
        <rFont val="Cambria"/>
        <family val="0"/>
        <charset val="1"/>
      </rPr>
      <t xml:space="preserve">) = ='</t>
    </r>
    <r>
      <rPr>
        <sz val="9"/>
        <color rgb="FF666666"/>
        <rFont val="Noto Sans CJK SC"/>
        <family val="2"/>
      </rPr>
      <t xml:space="preserve">가정</t>
    </r>
    <r>
      <rPr>
        <sz val="9"/>
        <color rgb="FF666666"/>
        <rFont val="Cambria"/>
        <family val="0"/>
        <charset val="1"/>
      </rPr>
      <t xml:space="preserve">'!B53</t>
    </r>
  </si>
  <si>
    <r>
      <rPr>
        <b val="true"/>
        <sz val="16"/>
        <rFont val="Cambria"/>
        <family val="0"/>
        <charset val="1"/>
      </rPr>
      <t xml:space="preserve">TAERIJAY </t>
    </r>
    <r>
      <rPr>
        <b val="true"/>
        <sz val="16"/>
        <rFont val="Noto Sans CJK SC"/>
        <family val="2"/>
      </rPr>
      <t xml:space="preserve">수익 시뮬레이션 — ③ 최대 시나리오</t>
    </r>
  </si>
  <si>
    <r>
      <rPr>
        <sz val="9"/>
        <color rgb="FF666666"/>
        <rFont val="Noto Sans CJK SC"/>
        <family val="2"/>
      </rPr>
      <t xml:space="preserve">월 </t>
    </r>
    <r>
      <rPr>
        <sz val="9"/>
        <color rgb="FF666666"/>
        <rFont val="Cambria"/>
        <family val="0"/>
        <charset val="1"/>
      </rPr>
      <t xml:space="preserve">Churn</t>
    </r>
    <r>
      <rPr>
        <sz val="9"/>
        <color rgb="FF666666"/>
        <rFont val="Noto Sans CJK SC"/>
        <family val="2"/>
      </rPr>
      <t xml:space="preserve">율 </t>
    </r>
    <r>
      <rPr>
        <sz val="9"/>
        <color rgb="FF666666"/>
        <rFont val="Cambria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가정탭 연동</t>
    </r>
    <r>
      <rPr>
        <sz val="9"/>
        <color rgb="FF666666"/>
        <rFont val="Cambria"/>
        <family val="0"/>
        <charset val="1"/>
      </rPr>
      <t xml:space="preserve">) = ='</t>
    </r>
    <r>
      <rPr>
        <sz val="9"/>
        <color rgb="FF666666"/>
        <rFont val="Noto Sans CJK SC"/>
        <family val="2"/>
      </rPr>
      <t xml:space="preserve">가정</t>
    </r>
    <r>
      <rPr>
        <sz val="9"/>
        <color rgb="FF666666"/>
        <rFont val="Cambria"/>
        <family val="0"/>
        <charset val="1"/>
      </rPr>
      <t xml:space="preserve">'!B54</t>
    </r>
  </si>
  <si>
    <r>
      <rPr>
        <b val="true"/>
        <sz val="16"/>
        <rFont val="Cambria"/>
        <family val="0"/>
        <charset val="1"/>
      </rPr>
      <t xml:space="preserve">TAERIJAY </t>
    </r>
    <r>
      <rPr>
        <b val="true"/>
        <sz val="16"/>
        <rFont val="Noto Sans CJK SC"/>
        <family val="2"/>
      </rPr>
      <t xml:space="preserve">수익 시뮬레이션 — ④ 대박 시나리오</t>
    </r>
  </si>
  <si>
    <r>
      <rPr>
        <sz val="9"/>
        <color rgb="FF666666"/>
        <rFont val="Noto Sans CJK SC"/>
        <family val="2"/>
      </rPr>
      <t xml:space="preserve">월 </t>
    </r>
    <r>
      <rPr>
        <sz val="9"/>
        <color rgb="FF666666"/>
        <rFont val="Cambria"/>
        <family val="0"/>
        <charset val="1"/>
      </rPr>
      <t xml:space="preserve">Churn</t>
    </r>
    <r>
      <rPr>
        <sz val="9"/>
        <color rgb="FF666666"/>
        <rFont val="Noto Sans CJK SC"/>
        <family val="2"/>
      </rPr>
      <t xml:space="preserve">율 </t>
    </r>
    <r>
      <rPr>
        <sz val="9"/>
        <color rgb="FF666666"/>
        <rFont val="Cambria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가정탭 연동</t>
    </r>
    <r>
      <rPr>
        <sz val="9"/>
        <color rgb="FF666666"/>
        <rFont val="Cambria"/>
        <family val="0"/>
        <charset val="1"/>
      </rPr>
      <t xml:space="preserve">) = ='</t>
    </r>
    <r>
      <rPr>
        <sz val="9"/>
        <color rgb="FF666666"/>
        <rFont val="Noto Sans CJK SC"/>
        <family val="2"/>
      </rPr>
      <t xml:space="preserve">가정</t>
    </r>
    <r>
      <rPr>
        <sz val="9"/>
        <color rgb="FF666666"/>
        <rFont val="Cambria"/>
        <family val="0"/>
        <charset val="1"/>
      </rPr>
      <t xml:space="preserve">'!B55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</si>
</sst>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#,##0"/>
    <numFmt numFmtId="167" formatCode="0.0%"/>
    <numFmt numFmtId="168" formatCode="0%"/>
    <numFmt numFmtId="169" formatCode="\$#,##0"/>
    <numFmt numFmtId="170" formatCode="#,##0\원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6"/>
      <name val="Noto Sans CJK SC"/>
      <family val="2"/>
    </font>
    <font>
      <i val="true"/>
      <sz val="10"/>
      <color rgb="FF666666"/>
      <name val="Noto Sans CJK SC"/>
      <family val="2"/>
    </font>
    <font>
      <i val="true"/>
      <sz val="10"/>
      <color rgb="FF666666"/>
      <name val="Cambria"/>
      <family val="0"/>
      <charset val="1"/>
    </font>
    <font>
      <i val="true"/>
      <sz val="9"/>
      <color rgb="FFB91C1C"/>
      <name val="Noto Sans CJK SC"/>
      <family val="2"/>
    </font>
    <font>
      <i val="true"/>
      <sz val="9"/>
      <color rgb="FFB91C1C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Noto Sans CJK SC"/>
      <family val="2"/>
    </font>
    <font>
      <sz val="11"/>
      <color rgb="FF0000FF"/>
      <name val="Cambria"/>
      <family val="0"/>
      <charset val="1"/>
    </font>
    <font>
      <sz val="9"/>
      <color rgb="FF666666"/>
      <name val="Cambria"/>
      <family val="0"/>
      <charset val="1"/>
    </font>
    <font>
      <sz val="9"/>
      <color rgb="FF666666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Cambria"/>
      <family val="0"/>
      <charset val="1"/>
    </font>
    <font>
      <sz val="9.5"/>
      <name val="Cambria"/>
      <family val="0"/>
      <charset val="1"/>
    </font>
    <font>
      <sz val="9.5"/>
      <name val="Noto Sans CJK SC"/>
      <family val="2"/>
    </font>
    <font>
      <sz val="11"/>
      <color rgb="FF008000"/>
      <name val="Cambria"/>
      <family val="0"/>
      <charset val="1"/>
    </font>
    <font>
      <b val="true"/>
      <sz val="12"/>
      <name val="Noto Sans CJK SC"/>
      <family val="2"/>
    </font>
    <font>
      <b val="true"/>
      <sz val="12"/>
      <color rgb="FF065F46"/>
      <name val="Cambria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Cambria"/>
      <family val="0"/>
      <charset val="1"/>
    </font>
    <font>
      <b val="true"/>
      <sz val="12"/>
      <color rgb="FFFFFFFF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EE2E2"/>
        <bgColor rgb="FFE5E7EB"/>
      </patternFill>
    </fill>
    <fill>
      <patternFill patternType="solid">
        <fgColor rgb="FFFEF9C3"/>
        <bgColor rgb="FFF9F9F9"/>
      </patternFill>
    </fill>
    <fill>
      <patternFill patternType="solid">
        <fgColor rgb="FFDCFCE7"/>
        <bgColor rgb="FFDBEAFE"/>
      </patternFill>
    </fill>
    <fill>
      <patternFill patternType="solid">
        <fgColor rgb="FFDBEAFE"/>
        <bgColor rgb="FFE5E7EB"/>
      </patternFill>
    </fill>
    <fill>
      <patternFill patternType="solid">
        <fgColor rgb="FFE5E7EB"/>
        <bgColor rgb="FFDBEAFE"/>
      </patternFill>
    </fill>
    <fill>
      <patternFill patternType="solid">
        <fgColor rgb="FF111827"/>
        <bgColor rgb="FF1F29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65F46"/>
      <rgbColor rgb="FFD9D9D9"/>
      <rgbColor rgb="FF878787"/>
      <rgbColor rgb="FF9999FF"/>
      <rgbColor rgb="FFC0504D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9F9F9"/>
      <rgbColor rgb="FF99CCFF"/>
      <rgbColor rgb="FFFF99CC"/>
      <rgbColor rgb="FFCC99FF"/>
      <rgbColor rgb="FFFEE2E2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111827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시나리오별 월간 매출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요약비교!B5</c:f>
              <c:strCache>
                <c:ptCount val="1"/>
                <c:pt idx="0">
                  <c:v>9월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요약비교!$A$6:$A$9</c:f>
              <c:strCache>
                <c:ptCount val="4"/>
                <c:pt idx="0">
                  <c:v>① 최소</c:v>
                </c:pt>
                <c:pt idx="1">
                  <c:v>② 평균</c:v>
                </c:pt>
                <c:pt idx="2">
                  <c:v>③ 최대</c:v>
                </c:pt>
                <c:pt idx="3">
                  <c:v>④ 대박</c:v>
                </c:pt>
              </c:strCache>
            </c:strRef>
          </c:cat>
          <c:val>
            <c:numRef>
              <c:f>요약비교!$B$6:$B$9</c:f>
              <c:numCache>
                <c:formatCode>\$#,##0</c:formatCode>
                <c:ptCount val="4"/>
                <c:pt idx="0">
                  <c:v>59.97</c:v>
                </c:pt>
                <c:pt idx="1">
                  <c:v>312</c:v>
                </c:pt>
                <c:pt idx="2">
                  <c:v>1161</c:v>
                </c:pt>
                <c:pt idx="3">
                  <c:v>2369.21</c:v>
                </c:pt>
              </c:numCache>
            </c:numRef>
          </c:val>
        </c:ser>
        <c:ser>
          <c:idx val="1"/>
          <c:order val="1"/>
          <c:tx>
            <c:strRef>
              <c:f>요약비교!C5</c:f>
              <c:strCache>
                <c:ptCount val="1"/>
                <c:pt idx="0">
                  <c:v>10월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요약비교!$A$6:$A$9</c:f>
              <c:strCache>
                <c:ptCount val="4"/>
                <c:pt idx="0">
                  <c:v>① 최소</c:v>
                </c:pt>
                <c:pt idx="1">
                  <c:v>② 평균</c:v>
                </c:pt>
                <c:pt idx="2">
                  <c:v>③ 최대</c:v>
                </c:pt>
                <c:pt idx="3">
                  <c:v>④ 대박</c:v>
                </c:pt>
              </c:strCache>
            </c:strRef>
          </c:cat>
          <c:val>
            <c:numRef>
              <c:f>요약비교!$C$6:$C$9</c:f>
              <c:numCache>
                <c:formatCode>\$#,##0</c:formatCode>
                <c:ptCount val="4"/>
                <c:pt idx="0">
                  <c:v>176</c:v>
                </c:pt>
                <c:pt idx="1">
                  <c:v>1242</c:v>
                </c:pt>
                <c:pt idx="2">
                  <c:v>5792</c:v>
                </c:pt>
                <c:pt idx="3">
                  <c:v>30135</c:v>
                </c:pt>
              </c:numCache>
            </c:numRef>
          </c:val>
        </c:ser>
        <c:ser>
          <c:idx val="2"/>
          <c:order val="2"/>
          <c:tx>
            <c:strRef>
              <c:f>요약비교!D5</c:f>
              <c:strCache>
                <c:ptCount val="1"/>
                <c:pt idx="0">
                  <c:v>11월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요약비교!$A$6:$A$9</c:f>
              <c:strCache>
                <c:ptCount val="4"/>
                <c:pt idx="0">
                  <c:v>① 최소</c:v>
                </c:pt>
                <c:pt idx="1">
                  <c:v>② 평균</c:v>
                </c:pt>
                <c:pt idx="2">
                  <c:v>③ 최대</c:v>
                </c:pt>
                <c:pt idx="3">
                  <c:v>④ 대박</c:v>
                </c:pt>
              </c:strCache>
            </c:strRef>
          </c:cat>
          <c:val>
            <c:numRef>
              <c:f>요약비교!$D$6:$D$9</c:f>
              <c:numCache>
                <c:formatCode>\$#,##0</c:formatCode>
                <c:ptCount val="4"/>
                <c:pt idx="0">
                  <c:v>408</c:v>
                </c:pt>
                <c:pt idx="1">
                  <c:v>3298.9</c:v>
                </c:pt>
                <c:pt idx="2">
                  <c:v>17290</c:v>
                </c:pt>
                <c:pt idx="3">
                  <c:v>127974</c:v>
                </c:pt>
              </c:numCache>
            </c:numRef>
          </c:val>
        </c:ser>
        <c:ser>
          <c:idx val="3"/>
          <c:order val="3"/>
          <c:tx>
            <c:strRef>
              <c:f>요약비교!E5</c:f>
              <c:strCache>
                <c:ptCount val="1"/>
                <c:pt idx="0">
                  <c:v>12월</c:v>
                </c:pt>
              </c:strCache>
            </c:strRef>
          </c:tx>
          <c:spPr>
            <a:solidFill>
              <a:srgbClr val="8064A2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요약비교!$A$6:$A$9</c:f>
              <c:strCache>
                <c:ptCount val="4"/>
                <c:pt idx="0">
                  <c:v>① 최소</c:v>
                </c:pt>
                <c:pt idx="1">
                  <c:v>② 평균</c:v>
                </c:pt>
                <c:pt idx="2">
                  <c:v>③ 최대</c:v>
                </c:pt>
                <c:pt idx="3">
                  <c:v>④ 대박</c:v>
                </c:pt>
              </c:strCache>
            </c:strRef>
          </c:cat>
          <c:val>
            <c:numRef>
              <c:f>요약비교!$E$6:$E$9</c:f>
              <c:numCache>
                <c:formatCode>\$#,##0</c:formatCode>
                <c:ptCount val="4"/>
                <c:pt idx="0">
                  <c:v>728</c:v>
                </c:pt>
                <c:pt idx="1">
                  <c:v>6432</c:v>
                </c:pt>
                <c:pt idx="2">
                  <c:v>39102</c:v>
                </c:pt>
                <c:pt idx="3">
                  <c:v>332448</c:v>
                </c:pt>
              </c:numCache>
            </c:numRef>
          </c:val>
        </c:ser>
        <c:gapWidth val="150"/>
        <c:overlap val="0"/>
        <c:axId val="4322338"/>
        <c:axId val="40751335"/>
      </c:barChart>
      <c:catAx>
        <c:axId val="4322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751335"/>
        <c:crosses val="autoZero"/>
        <c:auto val="1"/>
        <c:lblAlgn val="ctr"/>
        <c:lblOffset val="100"/>
        <c:noMultiLvlLbl val="0"/>
      </c:catAx>
      <c:valAx>
        <c:axId val="40751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223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시나리오별 4개월 총매출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요약비교!B29</c:f>
              <c:strCache>
                <c:ptCount val="1"/>
                <c:pt idx="0">
                  <c:v>총매출 (USD)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요약비교!$A$30:$A$33</c:f>
              <c:strCache>
                <c:ptCount val="4"/>
                <c:pt idx="0">
                  <c:v>① 최소</c:v>
                </c:pt>
                <c:pt idx="1">
                  <c:v>② 평균</c:v>
                </c:pt>
                <c:pt idx="2">
                  <c:v>③ 최대</c:v>
                </c:pt>
                <c:pt idx="3">
                  <c:v>④ 대박</c:v>
                </c:pt>
              </c:strCache>
            </c:strRef>
          </c:cat>
          <c:val>
            <c:numRef>
              <c:f>요약비교!$B$30:$B$33</c:f>
              <c:numCache>
                <c:formatCode>\$#,##0</c:formatCode>
                <c:ptCount val="4"/>
                <c:pt idx="0">
                  <c:v>1371.97</c:v>
                </c:pt>
                <c:pt idx="1">
                  <c:v>11284.9</c:v>
                </c:pt>
                <c:pt idx="2">
                  <c:v>63345</c:v>
                </c:pt>
                <c:pt idx="3">
                  <c:v>492926.21</c:v>
                </c:pt>
              </c:numCache>
            </c:numRef>
          </c:val>
        </c:ser>
        <c:gapWidth val="150"/>
        <c:overlap val="0"/>
        <c:axId val="5728993"/>
        <c:axId val="35572102"/>
      </c:barChart>
      <c:catAx>
        <c:axId val="5728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572102"/>
        <c:crosses val="autoZero"/>
        <c:auto val="1"/>
        <c:lblAlgn val="ctr"/>
        <c:lblOffset val="100"/>
        <c:noMultiLvlLbl val="0"/>
      </c:catAx>
      <c:valAx>
        <c:axId val="355721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289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38</xdr:row>
      <xdr:rowOff>0</xdr:rowOff>
    </xdr:from>
    <xdr:to>
      <xdr:col>5</xdr:col>
      <xdr:colOff>699840</xdr:colOff>
      <xdr:row>56</xdr:row>
      <xdr:rowOff>170640</xdr:rowOff>
    </xdr:to>
    <xdr:graphicFrame>
      <xdr:nvGraphicFramePr>
        <xdr:cNvPr id="1" name="Chart 1"/>
        <xdr:cNvGraphicFramePr/>
      </xdr:nvGraphicFramePr>
      <xdr:xfrm>
        <a:off x="0" y="79027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59</xdr:row>
      <xdr:rowOff>0</xdr:rowOff>
    </xdr:from>
    <xdr:to>
      <xdr:col>5</xdr:col>
      <xdr:colOff>699840</xdr:colOff>
      <xdr:row>77</xdr:row>
      <xdr:rowOff>170640</xdr:rowOff>
    </xdr:to>
    <xdr:graphicFrame>
      <xdr:nvGraphicFramePr>
        <xdr:cNvPr id="2" name="Chart 2"/>
        <xdr:cNvGraphicFramePr/>
      </xdr:nvGraphicFramePr>
      <xdr:xfrm>
        <a:off x="0" y="119030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6"/>
    <col collapsed="false" customWidth="true" hidden="false" outlineLevel="0" max="6" min="6" style="0" width="50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6" customFormat="false" ht="17.15" hidden="false" customHeight="false" outlineLevel="0" collapsed="false">
      <c r="A6" s="4" t="s">
        <v>3</v>
      </c>
    </row>
    <row r="7" customFormat="false" ht="17.15" hidden="false" customHeight="false" outlineLevel="0" collapsed="false">
      <c r="A7" s="5" t="s">
        <v>4</v>
      </c>
      <c r="B7" s="5" t="s">
        <v>5</v>
      </c>
      <c r="C7" s="5" t="s">
        <v>6</v>
      </c>
    </row>
    <row r="8" customFormat="false" ht="17.15" hidden="false" customHeight="false" outlineLevel="0" collapsed="false">
      <c r="A8" s="6" t="s">
        <v>7</v>
      </c>
      <c r="B8" s="7" t="n">
        <v>19.99</v>
      </c>
      <c r="C8" s="8" t="s">
        <v>8</v>
      </c>
    </row>
    <row r="9" customFormat="false" ht="17.15" hidden="false" customHeight="false" outlineLevel="0" collapsed="false">
      <c r="A9" s="6" t="s">
        <v>9</v>
      </c>
      <c r="B9" s="7" t="n">
        <v>29.99</v>
      </c>
      <c r="C9" s="8" t="s">
        <v>10</v>
      </c>
    </row>
    <row r="10" customFormat="false" ht="17.15" hidden="false" customHeight="false" outlineLevel="0" collapsed="false">
      <c r="A10" s="6" t="s">
        <v>11</v>
      </c>
      <c r="B10" s="7" t="n">
        <v>39.99</v>
      </c>
      <c r="C10" s="8" t="s">
        <v>12</v>
      </c>
    </row>
    <row r="11" customFormat="false" ht="17.15" hidden="false" customHeight="false" outlineLevel="0" collapsed="false">
      <c r="A11" s="9" t="s">
        <v>13</v>
      </c>
      <c r="B11" s="7" t="n">
        <v>34.99</v>
      </c>
      <c r="C11" s="8" t="s">
        <v>14</v>
      </c>
    </row>
    <row r="12" customFormat="false" ht="17.15" hidden="false" customHeight="false" outlineLevel="0" collapsed="false">
      <c r="A12" s="9" t="s">
        <v>15</v>
      </c>
      <c r="B12" s="7" t="n">
        <v>99.99</v>
      </c>
      <c r="C12" s="10" t="s">
        <v>16</v>
      </c>
    </row>
    <row r="14" customFormat="false" ht="17.15" hidden="false" customHeight="false" outlineLevel="0" collapsed="false">
      <c r="A14" s="11" t="s">
        <v>17</v>
      </c>
    </row>
    <row r="15" customFormat="false" ht="17.15" hidden="false" customHeight="false" outlineLevel="0" collapsed="false">
      <c r="A15" s="5" t="s">
        <v>18</v>
      </c>
      <c r="B15" s="12" t="s">
        <v>19</v>
      </c>
      <c r="C15" s="12" t="s">
        <v>20</v>
      </c>
      <c r="D15" s="12" t="s">
        <v>21</v>
      </c>
      <c r="E15" s="12" t="s">
        <v>22</v>
      </c>
      <c r="F15" s="5" t="s">
        <v>23</v>
      </c>
    </row>
    <row r="16" customFormat="false" ht="15" hidden="false" customHeight="false" outlineLevel="0" collapsed="false">
      <c r="A16" s="13" t="s">
        <v>24</v>
      </c>
      <c r="B16" s="14" t="n">
        <v>19.99</v>
      </c>
      <c r="C16" s="14" t="n">
        <v>22</v>
      </c>
      <c r="D16" s="14" t="n">
        <v>24</v>
      </c>
      <c r="E16" s="14" t="n">
        <v>26</v>
      </c>
      <c r="F16" s="15" t="s">
        <v>25</v>
      </c>
    </row>
    <row r="17" customFormat="false" ht="15" hidden="false" customHeight="false" outlineLevel="0" collapsed="false">
      <c r="A17" s="16" t="s">
        <v>26</v>
      </c>
      <c r="B17" s="17" t="n">
        <v>24</v>
      </c>
      <c r="C17" s="17" t="n">
        <v>27</v>
      </c>
      <c r="D17" s="17" t="n">
        <v>29.99</v>
      </c>
      <c r="E17" s="17" t="n">
        <v>32</v>
      </c>
      <c r="F17" s="18" t="s">
        <v>27</v>
      </c>
    </row>
    <row r="18" customFormat="false" ht="15" hidden="false" customHeight="false" outlineLevel="0" collapsed="false">
      <c r="A18" s="19" t="s">
        <v>28</v>
      </c>
      <c r="B18" s="20" t="n">
        <v>27</v>
      </c>
      <c r="C18" s="20" t="n">
        <v>32</v>
      </c>
      <c r="D18" s="20" t="n">
        <v>35</v>
      </c>
      <c r="E18" s="20" t="n">
        <v>38</v>
      </c>
      <c r="F18" s="21" t="s">
        <v>29</v>
      </c>
    </row>
    <row r="19" customFormat="false" ht="15" hidden="false" customHeight="false" outlineLevel="0" collapsed="false">
      <c r="A19" s="22" t="s">
        <v>30</v>
      </c>
      <c r="B19" s="23" t="n">
        <v>29.99</v>
      </c>
      <c r="C19" s="23" t="n">
        <v>35</v>
      </c>
      <c r="D19" s="23" t="n">
        <v>42</v>
      </c>
      <c r="E19" s="23" t="n">
        <v>48</v>
      </c>
      <c r="F19" s="24" t="s">
        <v>31</v>
      </c>
    </row>
    <row r="22" customFormat="false" ht="17.15" hidden="false" customHeight="false" outlineLevel="0" collapsed="false">
      <c r="A22" s="4" t="s">
        <v>32</v>
      </c>
    </row>
    <row r="23" customFormat="false" ht="15" hidden="false" customHeight="false" outlineLevel="0" collapsed="false">
      <c r="A23" s="25" t="s">
        <v>33</v>
      </c>
    </row>
    <row r="24" customFormat="false" ht="17.15" hidden="false" customHeight="false" outlineLevel="0" collapsed="false">
      <c r="A24" s="5" t="s">
        <v>18</v>
      </c>
      <c r="B24" s="5" t="s">
        <v>34</v>
      </c>
      <c r="C24" s="12" t="s">
        <v>35</v>
      </c>
      <c r="D24" s="12" t="s">
        <v>36</v>
      </c>
      <c r="E24" s="12" t="s">
        <v>37</v>
      </c>
      <c r="F24" s="12" t="s">
        <v>38</v>
      </c>
    </row>
    <row r="25" customFormat="false" ht="17.15" hidden="false" customHeight="false" outlineLevel="0" collapsed="false">
      <c r="A25" s="13" t="s">
        <v>24</v>
      </c>
      <c r="B25" s="26" t="s">
        <v>39</v>
      </c>
      <c r="C25" s="27" t="n">
        <v>150</v>
      </c>
      <c r="D25" s="27" t="n">
        <v>300</v>
      </c>
      <c r="E25" s="27" t="n">
        <v>500</v>
      </c>
      <c r="F25" s="27" t="n">
        <v>700</v>
      </c>
    </row>
    <row r="26" customFormat="false" ht="17.15" hidden="false" customHeight="false" outlineLevel="0" collapsed="false">
      <c r="A26" s="13"/>
      <c r="B26" s="26" t="s">
        <v>40</v>
      </c>
      <c r="C26" s="27" t="n">
        <v>200</v>
      </c>
      <c r="D26" s="27" t="n">
        <v>400</v>
      </c>
      <c r="E26" s="27" t="n">
        <v>650</v>
      </c>
      <c r="F26" s="27" t="n">
        <v>900</v>
      </c>
    </row>
    <row r="27" customFormat="false" ht="15" hidden="false" customHeight="false" outlineLevel="0" collapsed="false">
      <c r="A27" s="13"/>
      <c r="B27" s="26" t="s">
        <v>41</v>
      </c>
      <c r="C27" s="27" t="n">
        <v>180</v>
      </c>
      <c r="D27" s="27" t="n">
        <v>350</v>
      </c>
      <c r="E27" s="27" t="n">
        <v>550</v>
      </c>
      <c r="F27" s="27" t="n">
        <v>750</v>
      </c>
    </row>
    <row r="28" customFormat="false" ht="17.15" hidden="false" customHeight="false" outlineLevel="0" collapsed="false">
      <c r="A28" s="13"/>
      <c r="B28" s="26" t="s">
        <v>42</v>
      </c>
      <c r="C28" s="27" t="n">
        <v>100</v>
      </c>
      <c r="D28" s="27" t="n">
        <v>200</v>
      </c>
      <c r="E28" s="27" t="n">
        <v>320</v>
      </c>
      <c r="F28" s="27" t="n">
        <v>450</v>
      </c>
    </row>
    <row r="29" customFormat="false" ht="17.15" hidden="false" customHeight="false" outlineLevel="0" collapsed="false">
      <c r="A29" s="16" t="s">
        <v>26</v>
      </c>
      <c r="B29" s="28" t="s">
        <v>39</v>
      </c>
      <c r="C29" s="29" t="n">
        <v>400</v>
      </c>
      <c r="D29" s="29" t="n">
        <v>900</v>
      </c>
      <c r="E29" s="29" t="n">
        <v>1600</v>
      </c>
      <c r="F29" s="29" t="n">
        <v>2400</v>
      </c>
    </row>
    <row r="30" customFormat="false" ht="17.15" hidden="false" customHeight="false" outlineLevel="0" collapsed="false">
      <c r="A30" s="16"/>
      <c r="B30" s="28" t="s">
        <v>40</v>
      </c>
      <c r="C30" s="29" t="n">
        <v>500</v>
      </c>
      <c r="D30" s="29" t="n">
        <v>1100</v>
      </c>
      <c r="E30" s="29" t="n">
        <v>1900</v>
      </c>
      <c r="F30" s="29" t="n">
        <v>2800</v>
      </c>
    </row>
    <row r="31" customFormat="false" ht="15" hidden="false" customHeight="false" outlineLevel="0" collapsed="false">
      <c r="A31" s="16"/>
      <c r="B31" s="28" t="s">
        <v>41</v>
      </c>
      <c r="C31" s="29" t="n">
        <v>450</v>
      </c>
      <c r="D31" s="29" t="n">
        <v>1000</v>
      </c>
      <c r="E31" s="29" t="n">
        <v>1800</v>
      </c>
      <c r="F31" s="29" t="n">
        <v>2600</v>
      </c>
    </row>
    <row r="32" customFormat="false" ht="17.15" hidden="false" customHeight="false" outlineLevel="0" collapsed="false">
      <c r="A32" s="16"/>
      <c r="B32" s="28" t="s">
        <v>42</v>
      </c>
      <c r="C32" s="29" t="n">
        <v>300</v>
      </c>
      <c r="D32" s="29" t="n">
        <v>650</v>
      </c>
      <c r="E32" s="29" t="n">
        <v>1100</v>
      </c>
      <c r="F32" s="29" t="n">
        <v>1600</v>
      </c>
    </row>
    <row r="33" customFormat="false" ht="17.15" hidden="false" customHeight="false" outlineLevel="0" collapsed="false">
      <c r="A33" s="19" t="s">
        <v>28</v>
      </c>
      <c r="B33" s="30" t="s">
        <v>39</v>
      </c>
      <c r="C33" s="31" t="n">
        <v>900</v>
      </c>
      <c r="D33" s="31" t="n">
        <v>2500</v>
      </c>
      <c r="E33" s="31" t="n">
        <v>5000</v>
      </c>
      <c r="F33" s="31" t="n">
        <v>8500</v>
      </c>
    </row>
    <row r="34" customFormat="false" ht="17.15" hidden="false" customHeight="false" outlineLevel="0" collapsed="false">
      <c r="A34" s="19"/>
      <c r="B34" s="30" t="s">
        <v>40</v>
      </c>
      <c r="C34" s="31" t="n">
        <v>1100</v>
      </c>
      <c r="D34" s="31" t="n">
        <v>3000</v>
      </c>
      <c r="E34" s="31" t="n">
        <v>6000</v>
      </c>
      <c r="F34" s="31" t="n">
        <v>10000</v>
      </c>
    </row>
    <row r="35" customFormat="false" ht="15" hidden="false" customHeight="false" outlineLevel="0" collapsed="false">
      <c r="A35" s="19"/>
      <c r="B35" s="30" t="s">
        <v>41</v>
      </c>
      <c r="C35" s="31" t="n">
        <v>1000</v>
      </c>
      <c r="D35" s="31" t="n">
        <v>2800</v>
      </c>
      <c r="E35" s="31" t="n">
        <v>5800</v>
      </c>
      <c r="F35" s="31" t="n">
        <v>9500</v>
      </c>
    </row>
    <row r="36" customFormat="false" ht="17.15" hidden="false" customHeight="false" outlineLevel="0" collapsed="false">
      <c r="A36" s="19"/>
      <c r="B36" s="30" t="s">
        <v>42</v>
      </c>
      <c r="C36" s="31" t="n">
        <v>600</v>
      </c>
      <c r="D36" s="31" t="n">
        <v>1500</v>
      </c>
      <c r="E36" s="31" t="n">
        <v>2800</v>
      </c>
      <c r="F36" s="31" t="n">
        <v>4200</v>
      </c>
    </row>
    <row r="37" customFormat="false" ht="17.15" hidden="false" customHeight="false" outlineLevel="0" collapsed="false">
      <c r="A37" s="22" t="s">
        <v>30</v>
      </c>
      <c r="B37" s="32" t="s">
        <v>39</v>
      </c>
      <c r="C37" s="33" t="n">
        <v>2000</v>
      </c>
      <c r="D37" s="33" t="n">
        <v>15000</v>
      </c>
      <c r="E37" s="33" t="n">
        <v>35000</v>
      </c>
      <c r="F37" s="33" t="n">
        <v>55000</v>
      </c>
    </row>
    <row r="38" customFormat="false" ht="17.15" hidden="false" customHeight="false" outlineLevel="0" collapsed="false">
      <c r="A38" s="22"/>
      <c r="B38" s="32" t="s">
        <v>40</v>
      </c>
      <c r="C38" s="33" t="n">
        <v>2500</v>
      </c>
      <c r="D38" s="33" t="n">
        <v>20000</v>
      </c>
      <c r="E38" s="33" t="n">
        <v>45000</v>
      </c>
      <c r="F38" s="33" t="n">
        <v>70000</v>
      </c>
    </row>
    <row r="39" customFormat="false" ht="15" hidden="false" customHeight="false" outlineLevel="0" collapsed="false">
      <c r="A39" s="22"/>
      <c r="B39" s="32" t="s">
        <v>41</v>
      </c>
      <c r="C39" s="33" t="n">
        <v>2200</v>
      </c>
      <c r="D39" s="33" t="n">
        <v>18000</v>
      </c>
      <c r="E39" s="33" t="n">
        <v>42000</v>
      </c>
      <c r="F39" s="33" t="n">
        <v>65000</v>
      </c>
    </row>
    <row r="40" customFormat="false" ht="17.15" hidden="false" customHeight="false" outlineLevel="0" collapsed="false">
      <c r="A40" s="22"/>
      <c r="B40" s="32" t="s">
        <v>42</v>
      </c>
      <c r="C40" s="33" t="n">
        <v>1200</v>
      </c>
      <c r="D40" s="33" t="n">
        <v>4000</v>
      </c>
      <c r="E40" s="33" t="n">
        <v>9000</v>
      </c>
      <c r="F40" s="33" t="n">
        <v>14000</v>
      </c>
    </row>
    <row r="42" customFormat="false" ht="17.15" hidden="false" customHeight="false" outlineLevel="0" collapsed="false">
      <c r="A42" s="4" t="s">
        <v>43</v>
      </c>
    </row>
    <row r="43" customFormat="false" ht="15" hidden="false" customHeight="false" outlineLevel="0" collapsed="false">
      <c r="A43" s="25" t="s">
        <v>44</v>
      </c>
    </row>
    <row r="44" customFormat="false" ht="17.15" hidden="false" customHeight="false" outlineLevel="0" collapsed="false">
      <c r="A44" s="5" t="s">
        <v>18</v>
      </c>
      <c r="B44" s="12" t="s">
        <v>19</v>
      </c>
      <c r="C44" s="12" t="s">
        <v>20</v>
      </c>
      <c r="D44" s="12" t="s">
        <v>21</v>
      </c>
      <c r="E44" s="12" t="s">
        <v>22</v>
      </c>
    </row>
    <row r="45" customFormat="false" ht="15" hidden="false" customHeight="false" outlineLevel="0" collapsed="false">
      <c r="A45" s="13" t="s">
        <v>24</v>
      </c>
      <c r="B45" s="34" t="n">
        <v>0.004</v>
      </c>
      <c r="C45" s="34" t="n">
        <v>0.005</v>
      </c>
      <c r="D45" s="34" t="n">
        <v>0.006</v>
      </c>
      <c r="E45" s="34" t="n">
        <v>0.006</v>
      </c>
    </row>
    <row r="46" customFormat="false" ht="15" hidden="false" customHeight="false" outlineLevel="0" collapsed="false">
      <c r="A46" s="16" t="s">
        <v>26</v>
      </c>
      <c r="B46" s="35" t="n">
        <v>0.008</v>
      </c>
      <c r="C46" s="35" t="n">
        <v>0.01</v>
      </c>
      <c r="D46" s="35" t="n">
        <v>0.012</v>
      </c>
      <c r="E46" s="35" t="n">
        <v>0.013</v>
      </c>
    </row>
    <row r="47" customFormat="false" ht="15" hidden="false" customHeight="false" outlineLevel="0" collapsed="false">
      <c r="A47" s="19" t="s">
        <v>28</v>
      </c>
      <c r="B47" s="36" t="n">
        <v>0.012</v>
      </c>
      <c r="C47" s="36" t="n">
        <v>0.015</v>
      </c>
      <c r="D47" s="36" t="n">
        <v>0.018</v>
      </c>
      <c r="E47" s="36" t="n">
        <v>0.02</v>
      </c>
    </row>
    <row r="48" customFormat="false" ht="15" hidden="false" customHeight="false" outlineLevel="0" collapsed="false">
      <c r="A48" s="22" t="s">
        <v>30</v>
      </c>
      <c r="B48" s="37" t="n">
        <v>0.01</v>
      </c>
      <c r="C48" s="37" t="n">
        <v>0.014</v>
      </c>
      <c r="D48" s="37" t="n">
        <v>0.018</v>
      </c>
      <c r="E48" s="37" t="n">
        <v>0.022</v>
      </c>
    </row>
    <row r="50" customFormat="false" ht="17.15" hidden="false" customHeight="false" outlineLevel="0" collapsed="false">
      <c r="A50" s="4" t="s">
        <v>45</v>
      </c>
    </row>
    <row r="51" customFormat="false" ht="17.15" hidden="false" customHeight="false" outlineLevel="0" collapsed="false">
      <c r="A51" s="5" t="s">
        <v>18</v>
      </c>
      <c r="B51" s="5" t="s">
        <v>46</v>
      </c>
      <c r="C51" s="5" t="s">
        <v>23</v>
      </c>
    </row>
    <row r="52" customFormat="false" ht="15" hidden="false" customHeight="false" outlineLevel="0" collapsed="false">
      <c r="A52" s="13" t="s">
        <v>24</v>
      </c>
      <c r="B52" s="38" t="n">
        <v>0.35</v>
      </c>
      <c r="C52" s="15" t="s">
        <v>47</v>
      </c>
    </row>
    <row r="53" customFormat="false" ht="15" hidden="false" customHeight="false" outlineLevel="0" collapsed="false">
      <c r="A53" s="16" t="s">
        <v>26</v>
      </c>
      <c r="B53" s="39" t="n">
        <v>0.28</v>
      </c>
      <c r="C53" s="40" t="s">
        <v>48</v>
      </c>
    </row>
    <row r="54" customFormat="false" ht="15" hidden="false" customHeight="false" outlineLevel="0" collapsed="false">
      <c r="A54" s="19" t="s">
        <v>28</v>
      </c>
      <c r="B54" s="41" t="n">
        <v>0.22</v>
      </c>
      <c r="C54" s="42" t="s">
        <v>49</v>
      </c>
    </row>
    <row r="55" customFormat="false" ht="15" hidden="false" customHeight="false" outlineLevel="0" collapsed="false">
      <c r="A55" s="22" t="s">
        <v>30</v>
      </c>
      <c r="B55" s="43" t="n">
        <v>0.2</v>
      </c>
      <c r="C55" s="44" t="s">
        <v>50</v>
      </c>
    </row>
    <row r="58" customFormat="false" ht="17.15" hidden="false" customHeight="false" outlineLevel="0" collapsed="false">
      <c r="A58" s="4" t="s">
        <v>51</v>
      </c>
    </row>
    <row r="59" customFormat="false" ht="15" hidden="false" customHeight="false" outlineLevel="0" collapsed="false">
      <c r="A59" s="45" t="s">
        <v>52</v>
      </c>
      <c r="B59" s="45"/>
      <c r="C59" s="45"/>
      <c r="D59" s="45"/>
      <c r="E59" s="45"/>
      <c r="F59" s="45"/>
    </row>
    <row r="60" customFormat="false" ht="15" hidden="false" customHeight="false" outlineLevel="0" collapsed="false">
      <c r="A60" s="45" t="s">
        <v>53</v>
      </c>
      <c r="B60" s="45"/>
      <c r="C60" s="45"/>
      <c r="D60" s="45"/>
      <c r="E60" s="45"/>
      <c r="F60" s="45"/>
    </row>
    <row r="61" customFormat="false" ht="15" hidden="false" customHeight="false" outlineLevel="0" collapsed="false">
      <c r="A61" s="45" t="s">
        <v>54</v>
      </c>
      <c r="B61" s="45"/>
      <c r="C61" s="45"/>
      <c r="D61" s="45"/>
      <c r="E61" s="45"/>
      <c r="F61" s="45"/>
    </row>
    <row r="62" customFormat="false" ht="15" hidden="false" customHeight="false" outlineLevel="0" collapsed="false">
      <c r="A62" s="45" t="s">
        <v>55</v>
      </c>
      <c r="B62" s="45"/>
      <c r="C62" s="45"/>
      <c r="D62" s="45"/>
      <c r="E62" s="45"/>
      <c r="F62" s="45"/>
    </row>
  </sheetData>
  <mergeCells count="6">
    <mergeCell ref="A1:F1"/>
    <mergeCell ref="A2:F2"/>
    <mergeCell ref="A59:F59"/>
    <mergeCell ref="A60:F60"/>
    <mergeCell ref="A61:F61"/>
    <mergeCell ref="A62:F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23.85" hidden="false" customHeight="false" outlineLevel="0" collapsed="false">
      <c r="A1" s="1" t="s">
        <v>56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46" t="s">
        <v>57</v>
      </c>
      <c r="B2" s="46"/>
      <c r="C2" s="46"/>
      <c r="D2" s="46"/>
      <c r="E2" s="46"/>
      <c r="F2" s="46"/>
      <c r="G2" s="46"/>
    </row>
    <row r="4" customFormat="false" ht="17.15" hidden="false" customHeight="false" outlineLevel="0" collapsed="false">
      <c r="A4" s="4" t="s">
        <v>58</v>
      </c>
    </row>
    <row r="5" customFormat="false" ht="17.15" hidden="false" customHeight="false" outlineLevel="0" collapsed="false">
      <c r="A5" s="5" t="s">
        <v>18</v>
      </c>
      <c r="B5" s="12" t="s">
        <v>19</v>
      </c>
      <c r="C5" s="12" t="s">
        <v>20</v>
      </c>
      <c r="D5" s="12" t="s">
        <v>21</v>
      </c>
      <c r="E5" s="12" t="s">
        <v>22</v>
      </c>
      <c r="F5" s="12" t="s">
        <v>59</v>
      </c>
    </row>
    <row r="6" customFormat="false" ht="15" hidden="false" customHeight="false" outlineLevel="0" collapsed="false">
      <c r="A6" s="13" t="s">
        <v>24</v>
      </c>
      <c r="B6" s="47" t="n">
        <f aca="false">'①최소'!B30</f>
        <v>59.97</v>
      </c>
      <c r="C6" s="47" t="n">
        <f aca="false">'①최소'!C30</f>
        <v>176</v>
      </c>
      <c r="D6" s="47" t="n">
        <f aca="false">'①최소'!D30</f>
        <v>408</v>
      </c>
      <c r="E6" s="47" t="n">
        <f aca="false">'①최소'!E30</f>
        <v>728</v>
      </c>
      <c r="F6" s="48" t="n">
        <f aca="false">SUM(B6:E6)</f>
        <v>1371.97</v>
      </c>
    </row>
    <row r="7" customFormat="false" ht="15" hidden="false" customHeight="false" outlineLevel="0" collapsed="false">
      <c r="A7" s="16" t="s">
        <v>26</v>
      </c>
      <c r="B7" s="49" t="n">
        <f aca="false">'②평균'!B30</f>
        <v>312</v>
      </c>
      <c r="C7" s="49" t="n">
        <f aca="false">'②평균'!C30</f>
        <v>1242</v>
      </c>
      <c r="D7" s="49" t="n">
        <f aca="false">'②평균'!D30</f>
        <v>3298.9</v>
      </c>
      <c r="E7" s="49" t="n">
        <f aca="false">'②평균'!E30</f>
        <v>6432</v>
      </c>
      <c r="F7" s="50" t="n">
        <f aca="false">SUM(B7:E7)</f>
        <v>11284.9</v>
      </c>
    </row>
    <row r="8" customFormat="false" ht="15" hidden="false" customHeight="false" outlineLevel="0" collapsed="false">
      <c r="A8" s="19" t="s">
        <v>28</v>
      </c>
      <c r="B8" s="51" t="n">
        <f aca="false">'③최대'!B30</f>
        <v>1161</v>
      </c>
      <c r="C8" s="51" t="n">
        <f aca="false">'③최대'!C30</f>
        <v>5792</v>
      </c>
      <c r="D8" s="51" t="n">
        <f aca="false">'③최대'!D30</f>
        <v>17290</v>
      </c>
      <c r="E8" s="51" t="n">
        <f aca="false">'③최대'!E30</f>
        <v>39102</v>
      </c>
      <c r="F8" s="52" t="n">
        <f aca="false">SUM(B8:E8)</f>
        <v>63345</v>
      </c>
    </row>
    <row r="9" customFormat="false" ht="15" hidden="false" customHeight="false" outlineLevel="0" collapsed="false">
      <c r="A9" s="22" t="s">
        <v>30</v>
      </c>
      <c r="B9" s="53" t="n">
        <f aca="false">'④대박'!B30</f>
        <v>2369.21</v>
      </c>
      <c r="C9" s="53" t="n">
        <f aca="false">'④대박'!C30</f>
        <v>30135</v>
      </c>
      <c r="D9" s="53" t="n">
        <f aca="false">'④대박'!D30</f>
        <v>127974</v>
      </c>
      <c r="E9" s="53" t="n">
        <f aca="false">'④대박'!E30</f>
        <v>332448</v>
      </c>
      <c r="F9" s="54" t="n">
        <f aca="false">SUM(B9:E9)</f>
        <v>492926.21</v>
      </c>
    </row>
    <row r="12" customFormat="false" ht="17.15" hidden="false" customHeight="false" outlineLevel="0" collapsed="false">
      <c r="A12" s="4" t="s">
        <v>60</v>
      </c>
    </row>
    <row r="13" customFormat="false" ht="17.15" hidden="false" customHeight="false" outlineLevel="0" collapsed="false">
      <c r="A13" s="5" t="s">
        <v>18</v>
      </c>
      <c r="B13" s="12" t="s">
        <v>19</v>
      </c>
      <c r="C13" s="12" t="s">
        <v>20</v>
      </c>
      <c r="D13" s="12" t="s">
        <v>21</v>
      </c>
      <c r="E13" s="12" t="s">
        <v>22</v>
      </c>
      <c r="F13" s="12" t="s">
        <v>59</v>
      </c>
    </row>
    <row r="14" customFormat="false" ht="17.15" hidden="false" customHeight="false" outlineLevel="0" collapsed="false">
      <c r="A14" s="13" t="s">
        <v>24</v>
      </c>
      <c r="B14" s="55" t="n">
        <f aca="false">B6*1400</f>
        <v>83958</v>
      </c>
      <c r="C14" s="55" t="n">
        <f aca="false">C6*1400</f>
        <v>246400</v>
      </c>
      <c r="D14" s="55" t="n">
        <f aca="false">D6*1400</f>
        <v>571200</v>
      </c>
      <c r="E14" s="55" t="n">
        <f aca="false">E6*1400</f>
        <v>1019200</v>
      </c>
      <c r="F14" s="56" t="n">
        <f aca="false">SUM(B14:E14)</f>
        <v>1920758</v>
      </c>
    </row>
    <row r="15" customFormat="false" ht="17.15" hidden="false" customHeight="false" outlineLevel="0" collapsed="false">
      <c r="A15" s="16" t="s">
        <v>26</v>
      </c>
      <c r="B15" s="57" t="n">
        <f aca="false">B7*1400</f>
        <v>436800</v>
      </c>
      <c r="C15" s="57" t="n">
        <f aca="false">C7*1400</f>
        <v>1738800</v>
      </c>
      <c r="D15" s="57" t="n">
        <f aca="false">D7*1400</f>
        <v>4618460</v>
      </c>
      <c r="E15" s="57" t="n">
        <f aca="false">E7*1400</f>
        <v>9004800</v>
      </c>
      <c r="F15" s="58" t="n">
        <f aca="false">SUM(B15:E15)</f>
        <v>15798860</v>
      </c>
    </row>
    <row r="16" customFormat="false" ht="17.15" hidden="false" customHeight="false" outlineLevel="0" collapsed="false">
      <c r="A16" s="19" t="s">
        <v>28</v>
      </c>
      <c r="B16" s="59" t="n">
        <f aca="false">B8*1400</f>
        <v>1625400</v>
      </c>
      <c r="C16" s="59" t="n">
        <f aca="false">C8*1400</f>
        <v>8108800</v>
      </c>
      <c r="D16" s="59" t="n">
        <f aca="false">D8*1400</f>
        <v>24206000</v>
      </c>
      <c r="E16" s="59" t="n">
        <f aca="false">E8*1400</f>
        <v>54742800</v>
      </c>
      <c r="F16" s="60" t="n">
        <f aca="false">SUM(B16:E16)</f>
        <v>88683000</v>
      </c>
    </row>
    <row r="17" customFormat="false" ht="17.15" hidden="false" customHeight="false" outlineLevel="0" collapsed="false">
      <c r="A17" s="22" t="s">
        <v>30</v>
      </c>
      <c r="B17" s="61" t="n">
        <f aca="false">B9*1400</f>
        <v>3316894</v>
      </c>
      <c r="C17" s="61" t="n">
        <f aca="false">C9*1400</f>
        <v>42189000</v>
      </c>
      <c r="D17" s="61" t="n">
        <f aca="false">D9*1400</f>
        <v>179163600</v>
      </c>
      <c r="E17" s="61" t="n">
        <f aca="false">E9*1400</f>
        <v>465427200</v>
      </c>
      <c r="F17" s="62" t="n">
        <f aca="false">SUM(B17:E17)</f>
        <v>690096694</v>
      </c>
    </row>
    <row r="20" customFormat="false" ht="17.15" hidden="false" customHeight="false" outlineLevel="0" collapsed="false">
      <c r="A20" s="4" t="s">
        <v>61</v>
      </c>
    </row>
    <row r="21" customFormat="false" ht="17.15" hidden="false" customHeight="false" outlineLevel="0" collapsed="false">
      <c r="A21" s="5" t="s">
        <v>18</v>
      </c>
      <c r="B21" s="12" t="s">
        <v>62</v>
      </c>
      <c r="C21" s="12" t="s">
        <v>63</v>
      </c>
    </row>
    <row r="22" customFormat="false" ht="15" hidden="false" customHeight="false" outlineLevel="0" collapsed="false">
      <c r="A22" s="13" t="s">
        <v>24</v>
      </c>
      <c r="B22" s="63" t="n">
        <f aca="false">'①최소'!E29</f>
        <v>28</v>
      </c>
      <c r="C22" s="63" t="n">
        <f aca="false">SUM('①최소'!B15:E15)</f>
        <v>38</v>
      </c>
    </row>
    <row r="23" customFormat="false" ht="15" hidden="false" customHeight="false" outlineLevel="0" collapsed="false">
      <c r="A23" s="16" t="s">
        <v>26</v>
      </c>
      <c r="B23" s="64" t="n">
        <f aca="false">'②평균'!E29</f>
        <v>201</v>
      </c>
      <c r="C23" s="64" t="n">
        <f aca="false">SUM('②평균'!B15:E15)</f>
        <v>249</v>
      </c>
    </row>
    <row r="24" customFormat="false" ht="15" hidden="false" customHeight="false" outlineLevel="0" collapsed="false">
      <c r="A24" s="19" t="s">
        <v>28</v>
      </c>
      <c r="B24" s="65" t="n">
        <f aca="false">'③최대'!E29</f>
        <v>1029</v>
      </c>
      <c r="C24" s="65" t="n">
        <f aca="false">SUM('③최대'!B15:E15)</f>
        <v>1187</v>
      </c>
    </row>
    <row r="25" customFormat="false" ht="15" hidden="false" customHeight="false" outlineLevel="0" collapsed="false">
      <c r="A25" s="22" t="s">
        <v>30</v>
      </c>
      <c r="B25" s="66" t="n">
        <f aca="false">'④대박'!E29</f>
        <v>6926</v>
      </c>
      <c r="C25" s="66" t="n">
        <f aca="false">SUM('④대박'!B15:E15)</f>
        <v>7723</v>
      </c>
    </row>
    <row r="28" customFormat="false" ht="17.15" hidden="false" customHeight="false" outlineLevel="0" collapsed="false">
      <c r="A28" s="4" t="s">
        <v>64</v>
      </c>
    </row>
    <row r="29" customFormat="false" ht="17.15" hidden="false" customHeight="false" outlineLevel="0" collapsed="false">
      <c r="A29" s="5" t="s">
        <v>18</v>
      </c>
      <c r="B29" s="5" t="s">
        <v>65</v>
      </c>
      <c r="C29" s="5" t="s">
        <v>66</v>
      </c>
    </row>
    <row r="30" customFormat="false" ht="19.4" hidden="false" customHeight="false" outlineLevel="0" collapsed="false">
      <c r="A30" s="67" t="s">
        <v>24</v>
      </c>
      <c r="B30" s="68" t="n">
        <f aca="false">'①최소'!B36</f>
        <v>1371.97</v>
      </c>
      <c r="C30" s="69" t="n">
        <f aca="false">'①최소'!B37</f>
        <v>1920758</v>
      </c>
    </row>
    <row r="31" customFormat="false" ht="19.4" hidden="false" customHeight="false" outlineLevel="0" collapsed="false">
      <c r="A31" s="70" t="s">
        <v>26</v>
      </c>
      <c r="B31" s="71" t="n">
        <f aca="false">'②평균'!B36</f>
        <v>11284.9</v>
      </c>
      <c r="C31" s="72" t="n">
        <f aca="false">'②평균'!B37</f>
        <v>15798860</v>
      </c>
    </row>
    <row r="32" customFormat="false" ht="19.4" hidden="false" customHeight="false" outlineLevel="0" collapsed="false">
      <c r="A32" s="73" t="s">
        <v>28</v>
      </c>
      <c r="B32" s="74" t="n">
        <f aca="false">'③최대'!B36</f>
        <v>63345</v>
      </c>
      <c r="C32" s="75" t="n">
        <f aca="false">'③최대'!B37</f>
        <v>88683000</v>
      </c>
    </row>
    <row r="33" customFormat="false" ht="19.4" hidden="false" customHeight="false" outlineLevel="0" collapsed="false">
      <c r="A33" s="76" t="s">
        <v>30</v>
      </c>
      <c r="B33" s="77" t="n">
        <f aca="false">'④대박'!B36</f>
        <v>492926.21</v>
      </c>
      <c r="C33" s="78" t="n">
        <f aca="false">'④대박'!B37</f>
        <v>690096694</v>
      </c>
    </row>
    <row r="36" customFormat="false" ht="15" hidden="false" customHeight="false" outlineLevel="0" collapsed="false">
      <c r="A36" s="79" t="s">
        <v>67</v>
      </c>
      <c r="B36" s="79"/>
      <c r="C36" s="79"/>
      <c r="D36" s="79"/>
      <c r="E36" s="79"/>
      <c r="F36" s="79"/>
    </row>
    <row r="37" customFormat="false" ht="15" hidden="false" customHeight="false" outlineLevel="0" collapsed="false">
      <c r="A37" s="79" t="s">
        <v>68</v>
      </c>
      <c r="B37" s="79"/>
      <c r="C37" s="79"/>
      <c r="D37" s="79"/>
      <c r="E37" s="79"/>
      <c r="F37" s="79"/>
    </row>
  </sheetData>
  <mergeCells count="4">
    <mergeCell ref="A1:G1"/>
    <mergeCell ref="A2:G2"/>
    <mergeCell ref="A36:F36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23.85" hidden="false" customHeight="false" outlineLevel="0" collapsed="false">
      <c r="A1" s="1" t="s">
        <v>69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  <c r="F2" s="2"/>
      <c r="G2" s="2"/>
      <c r="H2" s="2"/>
    </row>
    <row r="4" customFormat="false" ht="17.15" hidden="false" customHeight="false" outlineLevel="0" collapsed="false">
      <c r="A4" s="4" t="s">
        <v>71</v>
      </c>
    </row>
    <row r="5" customFormat="false" ht="17.15" hidden="false" customHeight="false" outlineLevel="0" collapsed="false">
      <c r="A5" s="5" t="s">
        <v>34</v>
      </c>
      <c r="B5" s="12" t="s">
        <v>19</v>
      </c>
      <c r="C5" s="12" t="s">
        <v>20</v>
      </c>
      <c r="D5" s="12" t="s">
        <v>21</v>
      </c>
      <c r="E5" s="12" t="s">
        <v>22</v>
      </c>
    </row>
    <row r="6" customFormat="false" ht="17.15" hidden="false" customHeight="false" outlineLevel="0" collapsed="false">
      <c r="A6" s="9" t="s">
        <v>39</v>
      </c>
      <c r="B6" s="80" t="n">
        <f aca="false">가정!C25</f>
        <v>150</v>
      </c>
      <c r="C6" s="80" t="n">
        <f aca="false">가정!D25</f>
        <v>300</v>
      </c>
      <c r="D6" s="80" t="n">
        <f aca="false">가정!E25</f>
        <v>500</v>
      </c>
      <c r="E6" s="80" t="n">
        <f aca="false">가정!F25</f>
        <v>700</v>
      </c>
    </row>
    <row r="7" customFormat="false" ht="17.15" hidden="false" customHeight="false" outlineLevel="0" collapsed="false">
      <c r="A7" s="9" t="s">
        <v>40</v>
      </c>
      <c r="B7" s="80" t="n">
        <f aca="false">가정!C26</f>
        <v>200</v>
      </c>
      <c r="C7" s="80" t="n">
        <f aca="false">가정!D26</f>
        <v>400</v>
      </c>
      <c r="D7" s="80" t="n">
        <f aca="false">가정!E26</f>
        <v>650</v>
      </c>
      <c r="E7" s="80" t="n">
        <f aca="false">가정!F26</f>
        <v>900</v>
      </c>
    </row>
    <row r="8" customFormat="false" ht="15" hidden="false" customHeight="false" outlineLevel="0" collapsed="false">
      <c r="A8" s="9" t="s">
        <v>41</v>
      </c>
      <c r="B8" s="80" t="n">
        <f aca="false">가정!C27</f>
        <v>180</v>
      </c>
      <c r="C8" s="80" t="n">
        <f aca="false">가정!D27</f>
        <v>350</v>
      </c>
      <c r="D8" s="80" t="n">
        <f aca="false">가정!E27</f>
        <v>550</v>
      </c>
      <c r="E8" s="80" t="n">
        <f aca="false">가정!F27</f>
        <v>750</v>
      </c>
    </row>
    <row r="9" customFormat="false" ht="17.15" hidden="false" customHeight="false" outlineLevel="0" collapsed="false">
      <c r="A9" s="9" t="s">
        <v>42</v>
      </c>
      <c r="B9" s="80" t="n">
        <f aca="false">가정!C28</f>
        <v>100</v>
      </c>
      <c r="C9" s="80" t="n">
        <f aca="false">가정!D28</f>
        <v>200</v>
      </c>
      <c r="D9" s="80" t="n">
        <f aca="false">가정!E28</f>
        <v>320</v>
      </c>
      <c r="E9" s="80" t="n">
        <f aca="false">가정!F28</f>
        <v>450</v>
      </c>
    </row>
    <row r="10" customFormat="false" ht="15" hidden="false" customHeight="false" outlineLevel="0" collapsed="false">
      <c r="A10" s="81" t="s">
        <v>72</v>
      </c>
      <c r="B10" s="82" t="n">
        <f aca="false">SUM(B6:B9)</f>
        <v>630</v>
      </c>
      <c r="C10" s="82" t="n">
        <f aca="false">SUM(C6:C9)</f>
        <v>1250</v>
      </c>
      <c r="D10" s="82" t="n">
        <f aca="false">SUM(D6:D9)</f>
        <v>2020</v>
      </c>
      <c r="E10" s="82" t="n">
        <f aca="false">SUM(E6:E9)</f>
        <v>2800</v>
      </c>
    </row>
    <row r="12" customFormat="false" ht="17.15" hidden="false" customHeight="false" outlineLevel="0" collapsed="false">
      <c r="A12" s="4" t="s">
        <v>73</v>
      </c>
    </row>
    <row r="13" customFormat="false" ht="17.15" hidden="false" customHeight="false" outlineLevel="0" collapsed="false">
      <c r="A13" s="5" t="s">
        <v>34</v>
      </c>
      <c r="B13" s="12" t="s">
        <v>19</v>
      </c>
      <c r="C13" s="12" t="s">
        <v>20</v>
      </c>
      <c r="D13" s="12" t="s">
        <v>21</v>
      </c>
      <c r="E13" s="12" t="s">
        <v>22</v>
      </c>
    </row>
    <row r="14" customFormat="false" ht="17.15" hidden="false" customHeight="false" outlineLevel="0" collapsed="false">
      <c r="A14" s="9" t="s">
        <v>74</v>
      </c>
      <c r="B14" s="83" t="n">
        <f aca="false">가정!B45</f>
        <v>0.004</v>
      </c>
      <c r="C14" s="83" t="n">
        <f aca="false">가정!C45</f>
        <v>0.005</v>
      </c>
      <c r="D14" s="83" t="n">
        <f aca="false">가정!D45</f>
        <v>0.006</v>
      </c>
      <c r="E14" s="83" t="n">
        <f aca="false">가정!E45</f>
        <v>0.006</v>
      </c>
    </row>
    <row r="15" customFormat="false" ht="15" hidden="false" customHeight="false" outlineLevel="0" collapsed="false">
      <c r="A15" s="81" t="s">
        <v>75</v>
      </c>
      <c r="B15" s="84" t="n">
        <f aca="false">ROUND(B10*B14,0)</f>
        <v>3</v>
      </c>
      <c r="C15" s="84" t="n">
        <f aca="false">ROUND(C10*C14,0)</f>
        <v>6</v>
      </c>
      <c r="D15" s="84" t="n">
        <f aca="false">ROUND(D10*D14,0)</f>
        <v>12</v>
      </c>
      <c r="E15" s="84" t="n">
        <f aca="false">ROUND(E10*E14,0)</f>
        <v>17</v>
      </c>
    </row>
    <row r="17" customFormat="false" ht="17.15" hidden="false" customHeight="false" outlineLevel="0" collapsed="false">
      <c r="A17" s="4" t="s">
        <v>76</v>
      </c>
    </row>
    <row r="18" customFormat="false" ht="15" hidden="false" customHeight="false" outlineLevel="0" collapsed="false">
      <c r="A18" s="85" t="s">
        <v>77</v>
      </c>
    </row>
    <row r="19" customFormat="false" ht="17.15" hidden="false" customHeight="false" outlineLevel="0" collapsed="false">
      <c r="A19" s="5" t="s">
        <v>34</v>
      </c>
      <c r="B19" s="12" t="s">
        <v>19</v>
      </c>
      <c r="C19" s="12" t="s">
        <v>20</v>
      </c>
      <c r="D19" s="12" t="s">
        <v>21</v>
      </c>
      <c r="E19" s="12" t="s">
        <v>22</v>
      </c>
    </row>
    <row r="20" customFormat="false" ht="15" hidden="false" customHeight="false" outlineLevel="0" collapsed="false">
      <c r="A20" s="9" t="s">
        <v>78</v>
      </c>
      <c r="B20" s="86" t="n">
        <v>0</v>
      </c>
      <c r="C20" s="86" t="n">
        <f aca="false">B23</f>
        <v>3</v>
      </c>
      <c r="D20" s="86" t="n">
        <f aca="false">C23</f>
        <v>8</v>
      </c>
      <c r="E20" s="86" t="n">
        <f aca="false">D23</f>
        <v>17</v>
      </c>
    </row>
    <row r="21" customFormat="false" ht="15" hidden="false" customHeight="false" outlineLevel="0" collapsed="false">
      <c r="A21" s="9" t="s">
        <v>79</v>
      </c>
      <c r="B21" s="86" t="n">
        <f aca="false">B15</f>
        <v>3</v>
      </c>
      <c r="C21" s="86" t="n">
        <f aca="false">C15</f>
        <v>6</v>
      </c>
      <c r="D21" s="86" t="n">
        <f aca="false">D15</f>
        <v>12</v>
      </c>
      <c r="E21" s="86" t="n">
        <f aca="false">E15</f>
        <v>17</v>
      </c>
    </row>
    <row r="22" customFormat="false" ht="17.15" hidden="false" customHeight="false" outlineLevel="0" collapsed="false">
      <c r="A22" s="9" t="s">
        <v>80</v>
      </c>
      <c r="B22" s="86" t="n">
        <f aca="false">ROUND(B20*가정!$B$52,0)</f>
        <v>0</v>
      </c>
      <c r="C22" s="86" t="n">
        <f aca="false">ROUND(C20*가정!$B$52,0)</f>
        <v>1</v>
      </c>
      <c r="D22" s="86" t="n">
        <f aca="false">ROUND(D20*가정!$B$52,0)</f>
        <v>3</v>
      </c>
      <c r="E22" s="86" t="n">
        <f aca="false">ROUND(E20*가정!$B$52,0)</f>
        <v>6</v>
      </c>
    </row>
    <row r="23" customFormat="false" ht="15" hidden="false" customHeight="false" outlineLevel="0" collapsed="false">
      <c r="A23" s="81" t="s">
        <v>81</v>
      </c>
      <c r="B23" s="82" t="n">
        <f aca="false">B20+B21-B22</f>
        <v>3</v>
      </c>
      <c r="C23" s="82" t="n">
        <f aca="false">C20+C21-C22</f>
        <v>8</v>
      </c>
      <c r="D23" s="82" t="n">
        <f aca="false">D20+D21-D22</f>
        <v>17</v>
      </c>
      <c r="E23" s="82" t="n">
        <f aca="false">E20+E21-E22</f>
        <v>28</v>
      </c>
    </row>
    <row r="26" customFormat="false" ht="17.15" hidden="false" customHeight="false" outlineLevel="0" collapsed="false">
      <c r="A26" s="4" t="s">
        <v>82</v>
      </c>
    </row>
    <row r="27" customFormat="false" ht="17.15" hidden="false" customHeight="false" outlineLevel="0" collapsed="false">
      <c r="A27" s="5" t="s">
        <v>83</v>
      </c>
      <c r="B27" s="12" t="s">
        <v>19</v>
      </c>
      <c r="C27" s="12" t="s">
        <v>20</v>
      </c>
      <c r="D27" s="12" t="s">
        <v>21</v>
      </c>
      <c r="E27" s="12" t="s">
        <v>22</v>
      </c>
      <c r="F27" s="12" t="s">
        <v>59</v>
      </c>
    </row>
    <row r="28" customFormat="false" ht="17.15" hidden="false" customHeight="false" outlineLevel="0" collapsed="false">
      <c r="A28" s="6" t="s">
        <v>84</v>
      </c>
      <c r="B28" s="87" t="n">
        <f aca="false">가정!B16</f>
        <v>19.99</v>
      </c>
      <c r="C28" s="87" t="n">
        <f aca="false">가정!C16</f>
        <v>22</v>
      </c>
      <c r="D28" s="87" t="n">
        <f aca="false">가정!D16</f>
        <v>24</v>
      </c>
      <c r="E28" s="87" t="n">
        <f aca="false">가정!E16</f>
        <v>26</v>
      </c>
    </row>
    <row r="29" customFormat="false" ht="15" hidden="false" customHeight="false" outlineLevel="0" collapsed="false">
      <c r="A29" s="9" t="s">
        <v>81</v>
      </c>
      <c r="B29" s="86" t="n">
        <f aca="false">B23</f>
        <v>3</v>
      </c>
      <c r="C29" s="86" t="n">
        <f aca="false">C23</f>
        <v>8</v>
      </c>
      <c r="D29" s="86" t="n">
        <f aca="false">D23</f>
        <v>17</v>
      </c>
      <c r="E29" s="86" t="n">
        <f aca="false">E23</f>
        <v>28</v>
      </c>
    </row>
    <row r="30" customFormat="false" ht="17.15" hidden="false" customHeight="false" outlineLevel="0" collapsed="false">
      <c r="A30" s="81" t="s">
        <v>85</v>
      </c>
      <c r="B30" s="88" t="n">
        <f aca="false">B28*B29</f>
        <v>59.97</v>
      </c>
      <c r="C30" s="88" t="n">
        <f aca="false">C28*C29</f>
        <v>176</v>
      </c>
      <c r="D30" s="88" t="n">
        <f aca="false">D28*D29</f>
        <v>408</v>
      </c>
      <c r="E30" s="88" t="n">
        <f aca="false">E28*E29</f>
        <v>728</v>
      </c>
      <c r="F30" s="88" t="n">
        <f aca="false">SUM(B30:E30)</f>
        <v>1371.97</v>
      </c>
    </row>
    <row r="31" customFormat="false" ht="17.15" hidden="false" customHeight="false" outlineLevel="0" collapsed="false">
      <c r="A31" s="9" t="s">
        <v>86</v>
      </c>
      <c r="B31" s="89" t="n">
        <f aca="false">B30*1400</f>
        <v>83958</v>
      </c>
      <c r="C31" s="89" t="n">
        <f aca="false">C30*1400</f>
        <v>246400</v>
      </c>
      <c r="D31" s="89" t="n">
        <f aca="false">D30*1400</f>
        <v>571200</v>
      </c>
      <c r="E31" s="89" t="n">
        <f aca="false">E30*1400</f>
        <v>1019200</v>
      </c>
      <c r="F31" s="90" t="n">
        <f aca="false">SUM(B31:E31)</f>
        <v>1920758</v>
      </c>
    </row>
    <row r="33" customFormat="false" ht="15" hidden="false" customHeight="false" outlineLevel="0" collapsed="false">
      <c r="A33" s="25" t="s">
        <v>87</v>
      </c>
      <c r="B33" s="91" t="n">
        <f aca="false">SUM(B15:E15)</f>
        <v>38</v>
      </c>
    </row>
    <row r="34" customFormat="false" ht="15" hidden="false" customHeight="false" outlineLevel="0" collapsed="false">
      <c r="A34" s="25" t="s">
        <v>88</v>
      </c>
      <c r="B34" s="91" t="n">
        <f aca="false">E23</f>
        <v>28</v>
      </c>
    </row>
    <row r="36" customFormat="false" ht="19.4" hidden="false" customHeight="false" outlineLevel="0" collapsed="false">
      <c r="A36" s="92" t="s">
        <v>89</v>
      </c>
      <c r="B36" s="93" t="n">
        <f aca="false">F30</f>
        <v>1371.97</v>
      </c>
    </row>
    <row r="37" customFormat="false" ht="19.4" hidden="false" customHeight="false" outlineLevel="0" collapsed="false">
      <c r="A37" s="92" t="s">
        <v>90</v>
      </c>
      <c r="B37" s="94" t="n">
        <f aca="false">F31</f>
        <v>1920758</v>
      </c>
    </row>
    <row r="39" customFormat="false" ht="15" hidden="false" customHeight="false" outlineLevel="0" collapsed="false">
      <c r="A39" s="95" t="s">
        <v>91</v>
      </c>
      <c r="B39" s="95"/>
      <c r="C39" s="95"/>
      <c r="D39" s="95"/>
      <c r="E39" s="95"/>
      <c r="F39" s="95"/>
    </row>
  </sheetData>
  <mergeCells count="3">
    <mergeCell ref="A1:H1"/>
    <mergeCell ref="A2:H2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23.85" hidden="false" customHeight="false" outlineLevel="0" collapsed="false">
      <c r="A1" s="1" t="s">
        <v>92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  <c r="F2" s="2"/>
      <c r="G2" s="2"/>
      <c r="H2" s="2"/>
    </row>
    <row r="4" customFormat="false" ht="17.15" hidden="false" customHeight="false" outlineLevel="0" collapsed="false">
      <c r="A4" s="4" t="s">
        <v>71</v>
      </c>
    </row>
    <row r="5" customFormat="false" ht="17.15" hidden="false" customHeight="false" outlineLevel="0" collapsed="false">
      <c r="A5" s="5" t="s">
        <v>34</v>
      </c>
      <c r="B5" s="12" t="s">
        <v>19</v>
      </c>
      <c r="C5" s="12" t="s">
        <v>20</v>
      </c>
      <c r="D5" s="12" t="s">
        <v>21</v>
      </c>
      <c r="E5" s="12" t="s">
        <v>22</v>
      </c>
    </row>
    <row r="6" customFormat="false" ht="17.15" hidden="false" customHeight="false" outlineLevel="0" collapsed="false">
      <c r="A6" s="9" t="s">
        <v>39</v>
      </c>
      <c r="B6" s="80" t="n">
        <f aca="false">가정!C29</f>
        <v>400</v>
      </c>
      <c r="C6" s="80" t="n">
        <f aca="false">가정!D29</f>
        <v>900</v>
      </c>
      <c r="D6" s="80" t="n">
        <f aca="false">가정!E29</f>
        <v>1600</v>
      </c>
      <c r="E6" s="80" t="n">
        <f aca="false">가정!F29</f>
        <v>2400</v>
      </c>
    </row>
    <row r="7" customFormat="false" ht="17.15" hidden="false" customHeight="false" outlineLevel="0" collapsed="false">
      <c r="A7" s="9" t="s">
        <v>40</v>
      </c>
      <c r="B7" s="80" t="n">
        <f aca="false">가정!C30</f>
        <v>500</v>
      </c>
      <c r="C7" s="80" t="n">
        <f aca="false">가정!D30</f>
        <v>1100</v>
      </c>
      <c r="D7" s="80" t="n">
        <f aca="false">가정!E30</f>
        <v>1900</v>
      </c>
      <c r="E7" s="80" t="n">
        <f aca="false">가정!F30</f>
        <v>2800</v>
      </c>
    </row>
    <row r="8" customFormat="false" ht="15" hidden="false" customHeight="false" outlineLevel="0" collapsed="false">
      <c r="A8" s="9" t="s">
        <v>41</v>
      </c>
      <c r="B8" s="80" t="n">
        <f aca="false">가정!C31</f>
        <v>450</v>
      </c>
      <c r="C8" s="80" t="n">
        <f aca="false">가정!D31</f>
        <v>1000</v>
      </c>
      <c r="D8" s="80" t="n">
        <f aca="false">가정!E31</f>
        <v>1800</v>
      </c>
      <c r="E8" s="80" t="n">
        <f aca="false">가정!F31</f>
        <v>2600</v>
      </c>
    </row>
    <row r="9" customFormat="false" ht="17.15" hidden="false" customHeight="false" outlineLevel="0" collapsed="false">
      <c r="A9" s="9" t="s">
        <v>42</v>
      </c>
      <c r="B9" s="80" t="n">
        <f aca="false">가정!C32</f>
        <v>300</v>
      </c>
      <c r="C9" s="80" t="n">
        <f aca="false">가정!D32</f>
        <v>650</v>
      </c>
      <c r="D9" s="80" t="n">
        <f aca="false">가정!E32</f>
        <v>1100</v>
      </c>
      <c r="E9" s="80" t="n">
        <f aca="false">가정!F32</f>
        <v>1600</v>
      </c>
    </row>
    <row r="10" customFormat="false" ht="15" hidden="false" customHeight="false" outlineLevel="0" collapsed="false">
      <c r="A10" s="81" t="s">
        <v>72</v>
      </c>
      <c r="B10" s="82" t="n">
        <f aca="false">SUM(B6:B9)</f>
        <v>1650</v>
      </c>
      <c r="C10" s="82" t="n">
        <f aca="false">SUM(C6:C9)</f>
        <v>3650</v>
      </c>
      <c r="D10" s="82" t="n">
        <f aca="false">SUM(D6:D9)</f>
        <v>6400</v>
      </c>
      <c r="E10" s="82" t="n">
        <f aca="false">SUM(E6:E9)</f>
        <v>9400</v>
      </c>
    </row>
    <row r="12" customFormat="false" ht="17.15" hidden="false" customHeight="false" outlineLevel="0" collapsed="false">
      <c r="A12" s="4" t="s">
        <v>73</v>
      </c>
    </row>
    <row r="13" customFormat="false" ht="17.15" hidden="false" customHeight="false" outlineLevel="0" collapsed="false">
      <c r="A13" s="5" t="s">
        <v>34</v>
      </c>
      <c r="B13" s="12" t="s">
        <v>19</v>
      </c>
      <c r="C13" s="12" t="s">
        <v>20</v>
      </c>
      <c r="D13" s="12" t="s">
        <v>21</v>
      </c>
      <c r="E13" s="12" t="s">
        <v>22</v>
      </c>
    </row>
    <row r="14" customFormat="false" ht="17.15" hidden="false" customHeight="false" outlineLevel="0" collapsed="false">
      <c r="A14" s="9" t="s">
        <v>74</v>
      </c>
      <c r="B14" s="83" t="n">
        <f aca="false">가정!B46</f>
        <v>0.008</v>
      </c>
      <c r="C14" s="83" t="n">
        <f aca="false">가정!C46</f>
        <v>0.01</v>
      </c>
      <c r="D14" s="83" t="n">
        <f aca="false">가정!D46</f>
        <v>0.012</v>
      </c>
      <c r="E14" s="83" t="n">
        <f aca="false">가정!E46</f>
        <v>0.013</v>
      </c>
    </row>
    <row r="15" customFormat="false" ht="15" hidden="false" customHeight="false" outlineLevel="0" collapsed="false">
      <c r="A15" s="81" t="s">
        <v>75</v>
      </c>
      <c r="B15" s="84" t="n">
        <f aca="false">ROUND(B10*B14,0)</f>
        <v>13</v>
      </c>
      <c r="C15" s="84" t="n">
        <f aca="false">ROUND(C10*C14,0)</f>
        <v>37</v>
      </c>
      <c r="D15" s="84" t="n">
        <f aca="false">ROUND(D10*D14,0)</f>
        <v>77</v>
      </c>
      <c r="E15" s="84" t="n">
        <f aca="false">ROUND(E10*E14,0)</f>
        <v>122</v>
      </c>
    </row>
    <row r="17" customFormat="false" ht="17.15" hidden="false" customHeight="false" outlineLevel="0" collapsed="false">
      <c r="A17" s="4" t="s">
        <v>76</v>
      </c>
    </row>
    <row r="18" customFormat="false" ht="15" hidden="false" customHeight="false" outlineLevel="0" collapsed="false">
      <c r="A18" s="85" t="s">
        <v>93</v>
      </c>
    </row>
    <row r="19" customFormat="false" ht="17.15" hidden="false" customHeight="false" outlineLevel="0" collapsed="false">
      <c r="A19" s="5" t="s">
        <v>34</v>
      </c>
      <c r="B19" s="12" t="s">
        <v>19</v>
      </c>
      <c r="C19" s="12" t="s">
        <v>20</v>
      </c>
      <c r="D19" s="12" t="s">
        <v>21</v>
      </c>
      <c r="E19" s="12" t="s">
        <v>22</v>
      </c>
    </row>
    <row r="20" customFormat="false" ht="15" hidden="false" customHeight="false" outlineLevel="0" collapsed="false">
      <c r="A20" s="9" t="s">
        <v>78</v>
      </c>
      <c r="B20" s="86" t="n">
        <v>0</v>
      </c>
      <c r="C20" s="86" t="n">
        <f aca="false">B23</f>
        <v>13</v>
      </c>
      <c r="D20" s="86" t="n">
        <f aca="false">C23</f>
        <v>46</v>
      </c>
      <c r="E20" s="86" t="n">
        <f aca="false">D23</f>
        <v>110</v>
      </c>
    </row>
    <row r="21" customFormat="false" ht="15" hidden="false" customHeight="false" outlineLevel="0" collapsed="false">
      <c r="A21" s="9" t="s">
        <v>79</v>
      </c>
      <c r="B21" s="86" t="n">
        <f aca="false">B15</f>
        <v>13</v>
      </c>
      <c r="C21" s="86" t="n">
        <f aca="false">C15</f>
        <v>37</v>
      </c>
      <c r="D21" s="86" t="n">
        <f aca="false">D15</f>
        <v>77</v>
      </c>
      <c r="E21" s="86" t="n">
        <f aca="false">E15</f>
        <v>122</v>
      </c>
    </row>
    <row r="22" customFormat="false" ht="17.15" hidden="false" customHeight="false" outlineLevel="0" collapsed="false">
      <c r="A22" s="9" t="s">
        <v>80</v>
      </c>
      <c r="B22" s="86" t="n">
        <f aca="false">ROUND(B20*가정!$B$53,0)</f>
        <v>0</v>
      </c>
      <c r="C22" s="86" t="n">
        <f aca="false">ROUND(C20*가정!$B$53,0)</f>
        <v>4</v>
      </c>
      <c r="D22" s="86" t="n">
        <f aca="false">ROUND(D20*가정!$B$53,0)</f>
        <v>13</v>
      </c>
      <c r="E22" s="86" t="n">
        <f aca="false">ROUND(E20*가정!$B$53,0)</f>
        <v>31</v>
      </c>
    </row>
    <row r="23" customFormat="false" ht="15" hidden="false" customHeight="false" outlineLevel="0" collapsed="false">
      <c r="A23" s="81" t="s">
        <v>81</v>
      </c>
      <c r="B23" s="82" t="n">
        <f aca="false">B20+B21-B22</f>
        <v>13</v>
      </c>
      <c r="C23" s="82" t="n">
        <f aca="false">C20+C21-C22</f>
        <v>46</v>
      </c>
      <c r="D23" s="82" t="n">
        <f aca="false">D20+D21-D22</f>
        <v>110</v>
      </c>
      <c r="E23" s="82" t="n">
        <f aca="false">E20+E21-E22</f>
        <v>201</v>
      </c>
    </row>
    <row r="26" customFormat="false" ht="17.15" hidden="false" customHeight="false" outlineLevel="0" collapsed="false">
      <c r="A26" s="4" t="s">
        <v>82</v>
      </c>
    </row>
    <row r="27" customFormat="false" ht="17.15" hidden="false" customHeight="false" outlineLevel="0" collapsed="false">
      <c r="A27" s="5" t="s">
        <v>83</v>
      </c>
      <c r="B27" s="12" t="s">
        <v>19</v>
      </c>
      <c r="C27" s="12" t="s">
        <v>20</v>
      </c>
      <c r="D27" s="12" t="s">
        <v>21</v>
      </c>
      <c r="E27" s="12" t="s">
        <v>22</v>
      </c>
      <c r="F27" s="12" t="s">
        <v>59</v>
      </c>
    </row>
    <row r="28" customFormat="false" ht="17.15" hidden="false" customHeight="false" outlineLevel="0" collapsed="false">
      <c r="A28" s="6" t="s">
        <v>84</v>
      </c>
      <c r="B28" s="87" t="n">
        <f aca="false">가정!B17</f>
        <v>24</v>
      </c>
      <c r="C28" s="87" t="n">
        <f aca="false">가정!C17</f>
        <v>27</v>
      </c>
      <c r="D28" s="87" t="n">
        <f aca="false">가정!D17</f>
        <v>29.99</v>
      </c>
      <c r="E28" s="87" t="n">
        <f aca="false">가정!E17</f>
        <v>32</v>
      </c>
    </row>
    <row r="29" customFormat="false" ht="15" hidden="false" customHeight="false" outlineLevel="0" collapsed="false">
      <c r="A29" s="9" t="s">
        <v>81</v>
      </c>
      <c r="B29" s="86" t="n">
        <f aca="false">B23</f>
        <v>13</v>
      </c>
      <c r="C29" s="86" t="n">
        <f aca="false">C23</f>
        <v>46</v>
      </c>
      <c r="D29" s="86" t="n">
        <f aca="false">D23</f>
        <v>110</v>
      </c>
      <c r="E29" s="86" t="n">
        <f aca="false">E23</f>
        <v>201</v>
      </c>
    </row>
    <row r="30" customFormat="false" ht="17.15" hidden="false" customHeight="false" outlineLevel="0" collapsed="false">
      <c r="A30" s="81" t="s">
        <v>85</v>
      </c>
      <c r="B30" s="88" t="n">
        <f aca="false">B28*B29</f>
        <v>312</v>
      </c>
      <c r="C30" s="88" t="n">
        <f aca="false">C28*C29</f>
        <v>1242</v>
      </c>
      <c r="D30" s="88" t="n">
        <f aca="false">D28*D29</f>
        <v>3298.9</v>
      </c>
      <c r="E30" s="88" t="n">
        <f aca="false">E28*E29</f>
        <v>6432</v>
      </c>
      <c r="F30" s="88" t="n">
        <f aca="false">SUM(B30:E30)</f>
        <v>11284.9</v>
      </c>
    </row>
    <row r="31" customFormat="false" ht="17.15" hidden="false" customHeight="false" outlineLevel="0" collapsed="false">
      <c r="A31" s="9" t="s">
        <v>86</v>
      </c>
      <c r="B31" s="89" t="n">
        <f aca="false">B30*1400</f>
        <v>436800</v>
      </c>
      <c r="C31" s="89" t="n">
        <f aca="false">C30*1400</f>
        <v>1738800</v>
      </c>
      <c r="D31" s="89" t="n">
        <f aca="false">D30*1400</f>
        <v>4618460</v>
      </c>
      <c r="E31" s="89" t="n">
        <f aca="false">E30*1400</f>
        <v>9004800</v>
      </c>
      <c r="F31" s="90" t="n">
        <f aca="false">SUM(B31:E31)</f>
        <v>15798860</v>
      </c>
    </row>
    <row r="33" customFormat="false" ht="15" hidden="false" customHeight="false" outlineLevel="0" collapsed="false">
      <c r="A33" s="25" t="s">
        <v>87</v>
      </c>
      <c r="B33" s="91" t="n">
        <f aca="false">SUM(B15:E15)</f>
        <v>249</v>
      </c>
    </row>
    <row r="34" customFormat="false" ht="15" hidden="false" customHeight="false" outlineLevel="0" collapsed="false">
      <c r="A34" s="25" t="s">
        <v>88</v>
      </c>
      <c r="B34" s="91" t="n">
        <f aca="false">E23</f>
        <v>201</v>
      </c>
    </row>
    <row r="36" customFormat="false" ht="19.4" hidden="false" customHeight="false" outlineLevel="0" collapsed="false">
      <c r="A36" s="92" t="s">
        <v>89</v>
      </c>
      <c r="B36" s="93" t="n">
        <f aca="false">F30</f>
        <v>11284.9</v>
      </c>
    </row>
    <row r="37" customFormat="false" ht="19.4" hidden="false" customHeight="false" outlineLevel="0" collapsed="false">
      <c r="A37" s="92" t="s">
        <v>90</v>
      </c>
      <c r="B37" s="94" t="n">
        <f aca="false">F31</f>
        <v>15798860</v>
      </c>
    </row>
    <row r="39" customFormat="false" ht="15" hidden="false" customHeight="false" outlineLevel="0" collapsed="false">
      <c r="A39" s="95" t="s">
        <v>91</v>
      </c>
      <c r="B39" s="95"/>
      <c r="C39" s="95"/>
      <c r="D39" s="95"/>
      <c r="E39" s="95"/>
      <c r="F39" s="95"/>
    </row>
  </sheetData>
  <mergeCells count="3">
    <mergeCell ref="A1:H1"/>
    <mergeCell ref="A2:H2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23.85" hidden="false" customHeight="false" outlineLevel="0" collapsed="false">
      <c r="A1" s="1" t="s">
        <v>94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  <c r="F2" s="2"/>
      <c r="G2" s="2"/>
      <c r="H2" s="2"/>
    </row>
    <row r="4" customFormat="false" ht="17.15" hidden="false" customHeight="false" outlineLevel="0" collapsed="false">
      <c r="A4" s="4" t="s">
        <v>71</v>
      </c>
    </row>
    <row r="5" customFormat="false" ht="17.15" hidden="false" customHeight="false" outlineLevel="0" collapsed="false">
      <c r="A5" s="5" t="s">
        <v>34</v>
      </c>
      <c r="B5" s="12" t="s">
        <v>19</v>
      </c>
      <c r="C5" s="12" t="s">
        <v>20</v>
      </c>
      <c r="D5" s="12" t="s">
        <v>21</v>
      </c>
      <c r="E5" s="12" t="s">
        <v>22</v>
      </c>
    </row>
    <row r="6" customFormat="false" ht="17.15" hidden="false" customHeight="false" outlineLevel="0" collapsed="false">
      <c r="A6" s="9" t="s">
        <v>39</v>
      </c>
      <c r="B6" s="80" t="n">
        <f aca="false">가정!C33</f>
        <v>900</v>
      </c>
      <c r="C6" s="80" t="n">
        <f aca="false">가정!D33</f>
        <v>2500</v>
      </c>
      <c r="D6" s="80" t="n">
        <f aca="false">가정!E33</f>
        <v>5000</v>
      </c>
      <c r="E6" s="80" t="n">
        <f aca="false">가정!F33</f>
        <v>8500</v>
      </c>
    </row>
    <row r="7" customFormat="false" ht="17.15" hidden="false" customHeight="false" outlineLevel="0" collapsed="false">
      <c r="A7" s="9" t="s">
        <v>40</v>
      </c>
      <c r="B7" s="80" t="n">
        <f aca="false">가정!C34</f>
        <v>1100</v>
      </c>
      <c r="C7" s="80" t="n">
        <f aca="false">가정!D34</f>
        <v>3000</v>
      </c>
      <c r="D7" s="80" t="n">
        <f aca="false">가정!E34</f>
        <v>6000</v>
      </c>
      <c r="E7" s="80" t="n">
        <f aca="false">가정!F34</f>
        <v>10000</v>
      </c>
    </row>
    <row r="8" customFormat="false" ht="15" hidden="false" customHeight="false" outlineLevel="0" collapsed="false">
      <c r="A8" s="9" t="s">
        <v>41</v>
      </c>
      <c r="B8" s="80" t="n">
        <f aca="false">가정!C35</f>
        <v>1000</v>
      </c>
      <c r="C8" s="80" t="n">
        <f aca="false">가정!D35</f>
        <v>2800</v>
      </c>
      <c r="D8" s="80" t="n">
        <f aca="false">가정!E35</f>
        <v>5800</v>
      </c>
      <c r="E8" s="80" t="n">
        <f aca="false">가정!F35</f>
        <v>9500</v>
      </c>
    </row>
    <row r="9" customFormat="false" ht="17.15" hidden="false" customHeight="false" outlineLevel="0" collapsed="false">
      <c r="A9" s="9" t="s">
        <v>42</v>
      </c>
      <c r="B9" s="80" t="n">
        <f aca="false">가정!C36</f>
        <v>600</v>
      </c>
      <c r="C9" s="80" t="n">
        <f aca="false">가정!D36</f>
        <v>1500</v>
      </c>
      <c r="D9" s="80" t="n">
        <f aca="false">가정!E36</f>
        <v>2800</v>
      </c>
      <c r="E9" s="80" t="n">
        <f aca="false">가정!F36</f>
        <v>4200</v>
      </c>
    </row>
    <row r="10" customFormat="false" ht="15" hidden="false" customHeight="false" outlineLevel="0" collapsed="false">
      <c r="A10" s="81" t="s">
        <v>72</v>
      </c>
      <c r="B10" s="82" t="n">
        <f aca="false">SUM(B6:B9)</f>
        <v>3600</v>
      </c>
      <c r="C10" s="82" t="n">
        <f aca="false">SUM(C6:C9)</f>
        <v>9800</v>
      </c>
      <c r="D10" s="82" t="n">
        <f aca="false">SUM(D6:D9)</f>
        <v>19600</v>
      </c>
      <c r="E10" s="82" t="n">
        <f aca="false">SUM(E6:E9)</f>
        <v>32200</v>
      </c>
    </row>
    <row r="12" customFormat="false" ht="17.15" hidden="false" customHeight="false" outlineLevel="0" collapsed="false">
      <c r="A12" s="4" t="s">
        <v>73</v>
      </c>
    </row>
    <row r="13" customFormat="false" ht="17.15" hidden="false" customHeight="false" outlineLevel="0" collapsed="false">
      <c r="A13" s="5" t="s">
        <v>34</v>
      </c>
      <c r="B13" s="12" t="s">
        <v>19</v>
      </c>
      <c r="C13" s="12" t="s">
        <v>20</v>
      </c>
      <c r="D13" s="12" t="s">
        <v>21</v>
      </c>
      <c r="E13" s="12" t="s">
        <v>22</v>
      </c>
    </row>
    <row r="14" customFormat="false" ht="17.15" hidden="false" customHeight="false" outlineLevel="0" collapsed="false">
      <c r="A14" s="9" t="s">
        <v>74</v>
      </c>
      <c r="B14" s="83" t="n">
        <f aca="false">가정!B47</f>
        <v>0.012</v>
      </c>
      <c r="C14" s="83" t="n">
        <f aca="false">가정!C47</f>
        <v>0.015</v>
      </c>
      <c r="D14" s="83" t="n">
        <f aca="false">가정!D47</f>
        <v>0.018</v>
      </c>
      <c r="E14" s="83" t="n">
        <f aca="false">가정!E47</f>
        <v>0.02</v>
      </c>
    </row>
    <row r="15" customFormat="false" ht="15" hidden="false" customHeight="false" outlineLevel="0" collapsed="false">
      <c r="A15" s="81" t="s">
        <v>75</v>
      </c>
      <c r="B15" s="84" t="n">
        <f aca="false">ROUND(B10*B14,0)</f>
        <v>43</v>
      </c>
      <c r="C15" s="84" t="n">
        <f aca="false">ROUND(C10*C14,0)</f>
        <v>147</v>
      </c>
      <c r="D15" s="84" t="n">
        <f aca="false">ROUND(D10*D14,0)</f>
        <v>353</v>
      </c>
      <c r="E15" s="84" t="n">
        <f aca="false">ROUND(E10*E14,0)</f>
        <v>644</v>
      </c>
    </row>
    <row r="17" customFormat="false" ht="17.15" hidden="false" customHeight="false" outlineLevel="0" collapsed="false">
      <c r="A17" s="4" t="s">
        <v>76</v>
      </c>
    </row>
    <row r="18" customFormat="false" ht="15" hidden="false" customHeight="false" outlineLevel="0" collapsed="false">
      <c r="A18" s="85" t="s">
        <v>95</v>
      </c>
    </row>
    <row r="19" customFormat="false" ht="17.15" hidden="false" customHeight="false" outlineLevel="0" collapsed="false">
      <c r="A19" s="5" t="s">
        <v>34</v>
      </c>
      <c r="B19" s="12" t="s">
        <v>19</v>
      </c>
      <c r="C19" s="12" t="s">
        <v>20</v>
      </c>
      <c r="D19" s="12" t="s">
        <v>21</v>
      </c>
      <c r="E19" s="12" t="s">
        <v>22</v>
      </c>
    </row>
    <row r="20" customFormat="false" ht="15" hidden="false" customHeight="false" outlineLevel="0" collapsed="false">
      <c r="A20" s="9" t="s">
        <v>78</v>
      </c>
      <c r="B20" s="86" t="n">
        <v>0</v>
      </c>
      <c r="C20" s="86" t="n">
        <f aca="false">B23</f>
        <v>43</v>
      </c>
      <c r="D20" s="86" t="n">
        <f aca="false">C23</f>
        <v>181</v>
      </c>
      <c r="E20" s="86" t="n">
        <f aca="false">D23</f>
        <v>494</v>
      </c>
    </row>
    <row r="21" customFormat="false" ht="15" hidden="false" customHeight="false" outlineLevel="0" collapsed="false">
      <c r="A21" s="9" t="s">
        <v>79</v>
      </c>
      <c r="B21" s="86" t="n">
        <f aca="false">B15</f>
        <v>43</v>
      </c>
      <c r="C21" s="86" t="n">
        <f aca="false">C15</f>
        <v>147</v>
      </c>
      <c r="D21" s="86" t="n">
        <f aca="false">D15</f>
        <v>353</v>
      </c>
      <c r="E21" s="86" t="n">
        <f aca="false">E15</f>
        <v>644</v>
      </c>
    </row>
    <row r="22" customFormat="false" ht="17.15" hidden="false" customHeight="false" outlineLevel="0" collapsed="false">
      <c r="A22" s="9" t="s">
        <v>80</v>
      </c>
      <c r="B22" s="86" t="n">
        <f aca="false">ROUND(B20*가정!$B$54,0)</f>
        <v>0</v>
      </c>
      <c r="C22" s="86" t="n">
        <f aca="false">ROUND(C20*가정!$B$54,0)</f>
        <v>9</v>
      </c>
      <c r="D22" s="86" t="n">
        <f aca="false">ROUND(D20*가정!$B$54,0)</f>
        <v>40</v>
      </c>
      <c r="E22" s="86" t="n">
        <f aca="false">ROUND(E20*가정!$B$54,0)</f>
        <v>109</v>
      </c>
    </row>
    <row r="23" customFormat="false" ht="15" hidden="false" customHeight="false" outlineLevel="0" collapsed="false">
      <c r="A23" s="81" t="s">
        <v>81</v>
      </c>
      <c r="B23" s="82" t="n">
        <f aca="false">B20+B21-B22</f>
        <v>43</v>
      </c>
      <c r="C23" s="82" t="n">
        <f aca="false">C20+C21-C22</f>
        <v>181</v>
      </c>
      <c r="D23" s="82" t="n">
        <f aca="false">D20+D21-D22</f>
        <v>494</v>
      </c>
      <c r="E23" s="82" t="n">
        <f aca="false">E20+E21-E22</f>
        <v>1029</v>
      </c>
    </row>
    <row r="26" customFormat="false" ht="17.15" hidden="false" customHeight="false" outlineLevel="0" collapsed="false">
      <c r="A26" s="4" t="s">
        <v>82</v>
      </c>
    </row>
    <row r="27" customFormat="false" ht="17.15" hidden="false" customHeight="false" outlineLevel="0" collapsed="false">
      <c r="A27" s="5" t="s">
        <v>83</v>
      </c>
      <c r="B27" s="12" t="s">
        <v>19</v>
      </c>
      <c r="C27" s="12" t="s">
        <v>20</v>
      </c>
      <c r="D27" s="12" t="s">
        <v>21</v>
      </c>
      <c r="E27" s="12" t="s">
        <v>22</v>
      </c>
      <c r="F27" s="12" t="s">
        <v>59</v>
      </c>
    </row>
    <row r="28" customFormat="false" ht="17.15" hidden="false" customHeight="false" outlineLevel="0" collapsed="false">
      <c r="A28" s="6" t="s">
        <v>84</v>
      </c>
      <c r="B28" s="87" t="n">
        <f aca="false">가정!B18</f>
        <v>27</v>
      </c>
      <c r="C28" s="87" t="n">
        <f aca="false">가정!C18</f>
        <v>32</v>
      </c>
      <c r="D28" s="87" t="n">
        <f aca="false">가정!D18</f>
        <v>35</v>
      </c>
      <c r="E28" s="87" t="n">
        <f aca="false">가정!E18</f>
        <v>38</v>
      </c>
    </row>
    <row r="29" customFormat="false" ht="15" hidden="false" customHeight="false" outlineLevel="0" collapsed="false">
      <c r="A29" s="9" t="s">
        <v>81</v>
      </c>
      <c r="B29" s="86" t="n">
        <f aca="false">B23</f>
        <v>43</v>
      </c>
      <c r="C29" s="86" t="n">
        <f aca="false">C23</f>
        <v>181</v>
      </c>
      <c r="D29" s="86" t="n">
        <f aca="false">D23</f>
        <v>494</v>
      </c>
      <c r="E29" s="86" t="n">
        <f aca="false">E23</f>
        <v>1029</v>
      </c>
    </row>
    <row r="30" customFormat="false" ht="17.15" hidden="false" customHeight="false" outlineLevel="0" collapsed="false">
      <c r="A30" s="81" t="s">
        <v>85</v>
      </c>
      <c r="B30" s="88" t="n">
        <f aca="false">B28*B29</f>
        <v>1161</v>
      </c>
      <c r="C30" s="88" t="n">
        <f aca="false">C28*C29</f>
        <v>5792</v>
      </c>
      <c r="D30" s="88" t="n">
        <f aca="false">D28*D29</f>
        <v>17290</v>
      </c>
      <c r="E30" s="88" t="n">
        <f aca="false">E28*E29</f>
        <v>39102</v>
      </c>
      <c r="F30" s="88" t="n">
        <f aca="false">SUM(B30:E30)</f>
        <v>63345</v>
      </c>
    </row>
    <row r="31" customFormat="false" ht="17.15" hidden="false" customHeight="false" outlineLevel="0" collapsed="false">
      <c r="A31" s="9" t="s">
        <v>86</v>
      </c>
      <c r="B31" s="89" t="n">
        <f aca="false">B30*1400</f>
        <v>1625400</v>
      </c>
      <c r="C31" s="89" t="n">
        <f aca="false">C30*1400</f>
        <v>8108800</v>
      </c>
      <c r="D31" s="89" t="n">
        <f aca="false">D30*1400</f>
        <v>24206000</v>
      </c>
      <c r="E31" s="89" t="n">
        <f aca="false">E30*1400</f>
        <v>54742800</v>
      </c>
      <c r="F31" s="90" t="n">
        <f aca="false">SUM(B31:E31)</f>
        <v>88683000</v>
      </c>
    </row>
    <row r="33" customFormat="false" ht="15" hidden="false" customHeight="false" outlineLevel="0" collapsed="false">
      <c r="A33" s="25" t="s">
        <v>87</v>
      </c>
      <c r="B33" s="91" t="n">
        <f aca="false">SUM(B15:E15)</f>
        <v>1187</v>
      </c>
    </row>
    <row r="34" customFormat="false" ht="15" hidden="false" customHeight="false" outlineLevel="0" collapsed="false">
      <c r="A34" s="25" t="s">
        <v>88</v>
      </c>
      <c r="B34" s="91" t="n">
        <f aca="false">E23</f>
        <v>1029</v>
      </c>
    </row>
    <row r="36" customFormat="false" ht="19.4" hidden="false" customHeight="false" outlineLevel="0" collapsed="false">
      <c r="A36" s="92" t="s">
        <v>89</v>
      </c>
      <c r="B36" s="93" t="n">
        <f aca="false">F30</f>
        <v>63345</v>
      </c>
    </row>
    <row r="37" customFormat="false" ht="19.4" hidden="false" customHeight="false" outlineLevel="0" collapsed="false">
      <c r="A37" s="92" t="s">
        <v>90</v>
      </c>
      <c r="B37" s="94" t="n">
        <f aca="false">F31</f>
        <v>88683000</v>
      </c>
    </row>
    <row r="39" customFormat="false" ht="15" hidden="false" customHeight="false" outlineLevel="0" collapsed="false">
      <c r="A39" s="95" t="s">
        <v>91</v>
      </c>
      <c r="B39" s="95"/>
      <c r="C39" s="95"/>
      <c r="D39" s="95"/>
      <c r="E39" s="95"/>
      <c r="F39" s="95"/>
    </row>
  </sheetData>
  <mergeCells count="3">
    <mergeCell ref="A1:H1"/>
    <mergeCell ref="A2:H2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23.85" hidden="false" customHeight="false" outlineLevel="0" collapsed="false">
      <c r="A1" s="1" t="s">
        <v>96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  <c r="F2" s="2"/>
      <c r="G2" s="2"/>
      <c r="H2" s="2"/>
    </row>
    <row r="4" customFormat="false" ht="17.15" hidden="false" customHeight="false" outlineLevel="0" collapsed="false">
      <c r="A4" s="4" t="s">
        <v>71</v>
      </c>
    </row>
    <row r="5" customFormat="false" ht="17.15" hidden="false" customHeight="false" outlineLevel="0" collapsed="false">
      <c r="A5" s="5" t="s">
        <v>34</v>
      </c>
      <c r="B5" s="12" t="s">
        <v>19</v>
      </c>
      <c r="C5" s="12" t="s">
        <v>20</v>
      </c>
      <c r="D5" s="12" t="s">
        <v>21</v>
      </c>
      <c r="E5" s="12" t="s">
        <v>22</v>
      </c>
    </row>
    <row r="6" customFormat="false" ht="17.15" hidden="false" customHeight="false" outlineLevel="0" collapsed="false">
      <c r="A6" s="9" t="s">
        <v>39</v>
      </c>
      <c r="B6" s="80" t="n">
        <f aca="false">가정!C37</f>
        <v>2000</v>
      </c>
      <c r="C6" s="80" t="n">
        <f aca="false">가정!D37</f>
        <v>15000</v>
      </c>
      <c r="D6" s="80" t="n">
        <f aca="false">가정!E37</f>
        <v>35000</v>
      </c>
      <c r="E6" s="80" t="n">
        <f aca="false">가정!F37</f>
        <v>55000</v>
      </c>
    </row>
    <row r="7" customFormat="false" ht="17.15" hidden="false" customHeight="false" outlineLevel="0" collapsed="false">
      <c r="A7" s="9" t="s">
        <v>40</v>
      </c>
      <c r="B7" s="80" t="n">
        <f aca="false">가정!C38</f>
        <v>2500</v>
      </c>
      <c r="C7" s="80" t="n">
        <f aca="false">가정!D38</f>
        <v>20000</v>
      </c>
      <c r="D7" s="80" t="n">
        <f aca="false">가정!E38</f>
        <v>45000</v>
      </c>
      <c r="E7" s="80" t="n">
        <f aca="false">가정!F38</f>
        <v>70000</v>
      </c>
    </row>
    <row r="8" customFormat="false" ht="15" hidden="false" customHeight="false" outlineLevel="0" collapsed="false">
      <c r="A8" s="9" t="s">
        <v>41</v>
      </c>
      <c r="B8" s="80" t="n">
        <f aca="false">가정!C39</f>
        <v>2200</v>
      </c>
      <c r="C8" s="80" t="n">
        <f aca="false">가정!D39</f>
        <v>18000</v>
      </c>
      <c r="D8" s="80" t="n">
        <f aca="false">가정!E39</f>
        <v>42000</v>
      </c>
      <c r="E8" s="80" t="n">
        <f aca="false">가정!F39</f>
        <v>65000</v>
      </c>
    </row>
    <row r="9" customFormat="false" ht="17.15" hidden="false" customHeight="false" outlineLevel="0" collapsed="false">
      <c r="A9" s="9" t="s">
        <v>42</v>
      </c>
      <c r="B9" s="80" t="n">
        <f aca="false">가정!C40</f>
        <v>1200</v>
      </c>
      <c r="C9" s="80" t="n">
        <f aca="false">가정!D40</f>
        <v>4000</v>
      </c>
      <c r="D9" s="80" t="n">
        <f aca="false">가정!E40</f>
        <v>9000</v>
      </c>
      <c r="E9" s="80" t="n">
        <f aca="false">가정!F40</f>
        <v>14000</v>
      </c>
    </row>
    <row r="10" customFormat="false" ht="15" hidden="false" customHeight="false" outlineLevel="0" collapsed="false">
      <c r="A10" s="81" t="s">
        <v>72</v>
      </c>
      <c r="B10" s="82" t="n">
        <f aca="false">SUM(B6:B9)</f>
        <v>7900</v>
      </c>
      <c r="C10" s="82" t="n">
        <f aca="false">SUM(C6:C9)</f>
        <v>57000</v>
      </c>
      <c r="D10" s="82" t="n">
        <f aca="false">SUM(D6:D9)</f>
        <v>131000</v>
      </c>
      <c r="E10" s="82" t="n">
        <f aca="false">SUM(E6:E9)</f>
        <v>204000</v>
      </c>
    </row>
    <row r="12" customFormat="false" ht="17.15" hidden="false" customHeight="false" outlineLevel="0" collapsed="false">
      <c r="A12" s="4" t="s">
        <v>73</v>
      </c>
    </row>
    <row r="13" customFormat="false" ht="17.15" hidden="false" customHeight="false" outlineLevel="0" collapsed="false">
      <c r="A13" s="5" t="s">
        <v>34</v>
      </c>
      <c r="B13" s="12" t="s">
        <v>19</v>
      </c>
      <c r="C13" s="12" t="s">
        <v>20</v>
      </c>
      <c r="D13" s="12" t="s">
        <v>21</v>
      </c>
      <c r="E13" s="12" t="s">
        <v>22</v>
      </c>
    </row>
    <row r="14" customFormat="false" ht="17.15" hidden="false" customHeight="false" outlineLevel="0" collapsed="false">
      <c r="A14" s="9" t="s">
        <v>74</v>
      </c>
      <c r="B14" s="83" t="n">
        <f aca="false">가정!B48</f>
        <v>0.01</v>
      </c>
      <c r="C14" s="83" t="n">
        <f aca="false">가정!C48</f>
        <v>0.014</v>
      </c>
      <c r="D14" s="83" t="n">
        <f aca="false">가정!D48</f>
        <v>0.018</v>
      </c>
      <c r="E14" s="83" t="n">
        <f aca="false">가정!E48</f>
        <v>0.022</v>
      </c>
    </row>
    <row r="15" customFormat="false" ht="15" hidden="false" customHeight="false" outlineLevel="0" collapsed="false">
      <c r="A15" s="81" t="s">
        <v>75</v>
      </c>
      <c r="B15" s="84" t="n">
        <f aca="false">ROUND(B10*B14,0)</f>
        <v>79</v>
      </c>
      <c r="C15" s="84" t="n">
        <f aca="false">ROUND(C10*C14,0)</f>
        <v>798</v>
      </c>
      <c r="D15" s="84" t="n">
        <f aca="false">ROUND(D10*D14,0)</f>
        <v>2358</v>
      </c>
      <c r="E15" s="84" t="n">
        <f aca="false">ROUND(E10*E14,0)</f>
        <v>4488</v>
      </c>
    </row>
    <row r="17" customFormat="false" ht="17.15" hidden="false" customHeight="false" outlineLevel="0" collapsed="false">
      <c r="A17" s="4" t="s">
        <v>76</v>
      </c>
    </row>
    <row r="18" customFormat="false" ht="15" hidden="false" customHeight="false" outlineLevel="0" collapsed="false">
      <c r="A18" s="85" t="s">
        <v>97</v>
      </c>
    </row>
    <row r="19" customFormat="false" ht="17.15" hidden="false" customHeight="false" outlineLevel="0" collapsed="false">
      <c r="A19" s="5" t="s">
        <v>34</v>
      </c>
      <c r="B19" s="12" t="s">
        <v>19</v>
      </c>
      <c r="C19" s="12" t="s">
        <v>20</v>
      </c>
      <c r="D19" s="12" t="s">
        <v>21</v>
      </c>
      <c r="E19" s="12" t="s">
        <v>22</v>
      </c>
    </row>
    <row r="20" customFormat="false" ht="15" hidden="false" customHeight="false" outlineLevel="0" collapsed="false">
      <c r="A20" s="9" t="s">
        <v>78</v>
      </c>
      <c r="B20" s="86" t="n">
        <v>0</v>
      </c>
      <c r="C20" s="86" t="n">
        <f aca="false">B23</f>
        <v>79</v>
      </c>
      <c r="D20" s="86" t="n">
        <f aca="false">C23</f>
        <v>861</v>
      </c>
      <c r="E20" s="86" t="n">
        <f aca="false">D23</f>
        <v>3047</v>
      </c>
    </row>
    <row r="21" customFormat="false" ht="15" hidden="false" customHeight="false" outlineLevel="0" collapsed="false">
      <c r="A21" s="9" t="s">
        <v>79</v>
      </c>
      <c r="B21" s="86" t="n">
        <f aca="false">B15</f>
        <v>79</v>
      </c>
      <c r="C21" s="86" t="n">
        <f aca="false">C15</f>
        <v>798</v>
      </c>
      <c r="D21" s="86" t="n">
        <f aca="false">D15</f>
        <v>2358</v>
      </c>
      <c r="E21" s="86" t="n">
        <f aca="false">E15</f>
        <v>4488</v>
      </c>
    </row>
    <row r="22" customFormat="false" ht="17.15" hidden="false" customHeight="false" outlineLevel="0" collapsed="false">
      <c r="A22" s="9" t="s">
        <v>80</v>
      </c>
      <c r="B22" s="86" t="n">
        <f aca="false">ROUND(B20*가정!$B$55,0)</f>
        <v>0</v>
      </c>
      <c r="C22" s="86" t="n">
        <f aca="false">ROUND(C20*가정!$B$55,0)</f>
        <v>16</v>
      </c>
      <c r="D22" s="86" t="n">
        <f aca="false">ROUND(D20*가정!$B$55,0)</f>
        <v>172</v>
      </c>
      <c r="E22" s="86" t="n">
        <f aca="false">ROUND(E20*가정!$B$55,0)</f>
        <v>609</v>
      </c>
    </row>
    <row r="23" customFormat="false" ht="15" hidden="false" customHeight="false" outlineLevel="0" collapsed="false">
      <c r="A23" s="81" t="s">
        <v>81</v>
      </c>
      <c r="B23" s="82" t="n">
        <f aca="false">B20+B21-B22</f>
        <v>79</v>
      </c>
      <c r="C23" s="82" t="n">
        <f aca="false">C20+C21-C22</f>
        <v>861</v>
      </c>
      <c r="D23" s="82" t="n">
        <f aca="false">D20+D21-D22</f>
        <v>3047</v>
      </c>
      <c r="E23" s="82" t="n">
        <f aca="false">E20+E21-E22</f>
        <v>6926</v>
      </c>
    </row>
    <row r="26" customFormat="false" ht="17.15" hidden="false" customHeight="false" outlineLevel="0" collapsed="false">
      <c r="A26" s="4" t="s">
        <v>82</v>
      </c>
    </row>
    <row r="27" customFormat="false" ht="17.15" hidden="false" customHeight="false" outlineLevel="0" collapsed="false">
      <c r="A27" s="5" t="s">
        <v>83</v>
      </c>
      <c r="B27" s="12" t="s">
        <v>19</v>
      </c>
      <c r="C27" s="12" t="s">
        <v>20</v>
      </c>
      <c r="D27" s="12" t="s">
        <v>21</v>
      </c>
      <c r="E27" s="12" t="s">
        <v>22</v>
      </c>
      <c r="F27" s="12" t="s">
        <v>59</v>
      </c>
    </row>
    <row r="28" customFormat="false" ht="17.15" hidden="false" customHeight="false" outlineLevel="0" collapsed="false">
      <c r="A28" s="6" t="s">
        <v>84</v>
      </c>
      <c r="B28" s="87" t="n">
        <f aca="false">가정!B19</f>
        <v>29.99</v>
      </c>
      <c r="C28" s="87" t="n">
        <f aca="false">가정!C19</f>
        <v>35</v>
      </c>
      <c r="D28" s="87" t="n">
        <f aca="false">가정!D19</f>
        <v>42</v>
      </c>
      <c r="E28" s="87" t="n">
        <f aca="false">가정!E19</f>
        <v>48</v>
      </c>
    </row>
    <row r="29" customFormat="false" ht="15" hidden="false" customHeight="false" outlineLevel="0" collapsed="false">
      <c r="A29" s="9" t="s">
        <v>81</v>
      </c>
      <c r="B29" s="86" t="n">
        <f aca="false">B23</f>
        <v>79</v>
      </c>
      <c r="C29" s="86" t="n">
        <f aca="false">C23</f>
        <v>861</v>
      </c>
      <c r="D29" s="86" t="n">
        <f aca="false">D23</f>
        <v>3047</v>
      </c>
      <c r="E29" s="86" t="n">
        <f aca="false">E23</f>
        <v>6926</v>
      </c>
    </row>
    <row r="30" customFormat="false" ht="17.15" hidden="false" customHeight="false" outlineLevel="0" collapsed="false">
      <c r="A30" s="81" t="s">
        <v>85</v>
      </c>
      <c r="B30" s="88" t="n">
        <f aca="false">B28*B29</f>
        <v>2369.21</v>
      </c>
      <c r="C30" s="88" t="n">
        <f aca="false">C28*C29</f>
        <v>30135</v>
      </c>
      <c r="D30" s="88" t="n">
        <f aca="false">D28*D29</f>
        <v>127974</v>
      </c>
      <c r="E30" s="88" t="n">
        <f aca="false">E28*E29</f>
        <v>332448</v>
      </c>
      <c r="F30" s="88" t="n">
        <f aca="false">SUM(B30:E30)</f>
        <v>492926.21</v>
      </c>
    </row>
    <row r="31" customFormat="false" ht="17.15" hidden="false" customHeight="false" outlineLevel="0" collapsed="false">
      <c r="A31" s="9" t="s">
        <v>86</v>
      </c>
      <c r="B31" s="89" t="n">
        <f aca="false">B30*1400</f>
        <v>3316894</v>
      </c>
      <c r="C31" s="89" t="n">
        <f aca="false">C30*1400</f>
        <v>42189000</v>
      </c>
      <c r="D31" s="89" t="n">
        <f aca="false">D30*1400</f>
        <v>179163600</v>
      </c>
      <c r="E31" s="89" t="n">
        <f aca="false">E30*1400</f>
        <v>465427200</v>
      </c>
      <c r="F31" s="90" t="n">
        <f aca="false">SUM(B31:E31)</f>
        <v>690096694</v>
      </c>
    </row>
    <row r="33" customFormat="false" ht="15" hidden="false" customHeight="false" outlineLevel="0" collapsed="false">
      <c r="A33" s="25" t="s">
        <v>87</v>
      </c>
      <c r="B33" s="91" t="n">
        <f aca="false">SUM(B15:E15)</f>
        <v>7723</v>
      </c>
    </row>
    <row r="34" customFormat="false" ht="15" hidden="false" customHeight="false" outlineLevel="0" collapsed="false">
      <c r="A34" s="25" t="s">
        <v>88</v>
      </c>
      <c r="B34" s="91" t="n">
        <f aca="false">E23</f>
        <v>6926</v>
      </c>
    </row>
    <row r="36" customFormat="false" ht="19.4" hidden="false" customHeight="false" outlineLevel="0" collapsed="false">
      <c r="A36" s="92" t="s">
        <v>89</v>
      </c>
      <c r="B36" s="93" t="n">
        <f aca="false">F30</f>
        <v>492926.21</v>
      </c>
    </row>
    <row r="37" customFormat="false" ht="19.4" hidden="false" customHeight="false" outlineLevel="0" collapsed="false">
      <c r="A37" s="92" t="s">
        <v>90</v>
      </c>
      <c r="B37" s="94" t="n">
        <f aca="false">F31</f>
        <v>690096694</v>
      </c>
    </row>
    <row r="39" customFormat="false" ht="15" hidden="false" customHeight="false" outlineLevel="0" collapsed="false">
      <c r="A39" s="95" t="s">
        <v>91</v>
      </c>
      <c r="B39" s="95"/>
      <c r="C39" s="95"/>
      <c r="D39" s="95"/>
      <c r="E39" s="95"/>
      <c r="F39" s="95"/>
    </row>
  </sheetData>
  <mergeCells count="3">
    <mergeCell ref="A1:H1"/>
    <mergeCell ref="A2:H2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2026-08-28T13:42:46Z</dcterms:created>
  <dc:creator>openpyxl</dc:creator>
  <dc:description/>
  <dc:language>en-US</dc:language>
  <cp:lastModifiedBy/>
  <dcterms:modified xsi:type="dcterms:W3CDTF">2026-08-28T22:46:10Z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